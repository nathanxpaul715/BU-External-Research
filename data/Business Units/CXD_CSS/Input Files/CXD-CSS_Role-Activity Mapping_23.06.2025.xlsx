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iemarwinsamson/Downloads/"/>
    </mc:Choice>
  </mc:AlternateContent>
  <xr:revisionPtr revIDLastSave="0" documentId="13_ncr:1_{58035100-2AC6-6940-9119-B2B07EFE2A31}" xr6:coauthVersionLast="47" xr6:coauthVersionMax="47" xr10:uidLastSave="{00000000-0000-0000-0000-000000000000}"/>
  <bookViews>
    <workbookView xWindow="0" yWindow="600" windowWidth="29920" windowHeight="17060" xr2:uid="{73439CD3-A02F-0C40-95DD-86A4C1C86C3F}"/>
  </bookViews>
  <sheets>
    <sheet name="CSS Agent" sheetId="15" r:id="rId1"/>
    <sheet name="CSS Ops" sheetId="16" r:id="rId2"/>
    <sheet name="CSS Mgmt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7" l="1"/>
  <c r="C6" i="17"/>
  <c r="C5" i="17"/>
  <c r="C4" i="17"/>
  <c r="C3" i="17"/>
  <c r="C2" i="17"/>
  <c r="L2" i="17"/>
  <c r="L5" i="17" s="1"/>
  <c r="K2" i="17"/>
  <c r="K5" i="17" s="1"/>
  <c r="C7" i="16"/>
  <c r="B7" i="16"/>
  <c r="L2" i="16"/>
  <c r="L5" i="16" s="1"/>
  <c r="M5" i="16" s="1"/>
  <c r="K2" i="16"/>
  <c r="K5" i="16" s="1"/>
  <c r="C9" i="15"/>
  <c r="L2" i="15"/>
  <c r="L5" i="15" s="1"/>
  <c r="K2" i="15"/>
  <c r="K5" i="15" s="1"/>
  <c r="C7" i="17" l="1"/>
  <c r="M5" i="17"/>
  <c r="M5" i="15"/>
</calcChain>
</file>

<file path=xl/sharedStrings.xml><?xml version="1.0" encoding="utf-8"?>
<sst xmlns="http://schemas.openxmlformats.org/spreadsheetml/2006/main" count="148" uniqueCount="55">
  <si>
    <t>Estimated % of Time Spent</t>
  </si>
  <si>
    <t>Notes</t>
  </si>
  <si>
    <t>No</t>
  </si>
  <si>
    <t>Total</t>
  </si>
  <si>
    <t>~100%</t>
  </si>
  <si>
    <t>(Estimates are ranges and averages)</t>
  </si>
  <si>
    <t xml:space="preserve">Roles in Scope </t>
  </si>
  <si>
    <t>Role Type 
(Employees Only)</t>
  </si>
  <si>
    <t>HC</t>
  </si>
  <si>
    <t>Existing AI Use Cases</t>
  </si>
  <si>
    <t>Proposed Use Cases</t>
  </si>
  <si>
    <t>Functional AI Tools (Applicable)</t>
  </si>
  <si>
    <t>Generic AI Assistants (Applicable)</t>
  </si>
  <si>
    <t>FTE</t>
  </si>
  <si>
    <t>Customer Interactions and issue resolution</t>
  </si>
  <si>
    <t>Agent knowledge support, Customer self-service tools</t>
  </si>
  <si>
    <t>Advanced AI for complex issue resolution, Predictive engagement, Personalization (customer 360), Gen AI in voice channel</t>
  </si>
  <si>
    <t>Responding to customer inquiries via phone, email, chat. Identifying and solving customer problems.</t>
  </si>
  <si>
    <t>Data Entry and Documentation</t>
  </si>
  <si>
    <t>Real-time conversation transcription and summarization, AI assisted authoring for knowledge base</t>
  </si>
  <si>
    <t>Generative authoring for knowledge base</t>
  </si>
  <si>
    <t>Recording customer interactions and updating CRM systems.</t>
  </si>
  <si>
    <t>Meetings and collaboration</t>
  </si>
  <si>
    <t>Team meetings, 1:1s, ad-hoc meeting</t>
  </si>
  <si>
    <t>Coaching and training</t>
  </si>
  <si>
    <t>AI call quality assessments</t>
  </si>
  <si>
    <t>Real-time AI administered training</t>
  </si>
  <si>
    <t>Training and development programs for agents and other staff.</t>
  </si>
  <si>
    <t>Planning</t>
  </si>
  <si>
    <t>Initial plan drafting</t>
  </si>
  <si>
    <t>Developing strategies for improving service delivery and efficiency.</t>
  </si>
  <si>
    <t>Scheduling and Forecasting</t>
  </si>
  <si>
    <t>Alvaria</t>
  </si>
  <si>
    <t>Automating agent schedule creation, contact forecasting</t>
  </si>
  <si>
    <t>Predictive WFM capabilities</t>
  </si>
  <si>
    <t>Planning agent schedules and predicting customer demand.</t>
  </si>
  <si>
    <t>Reporting and Analysis</t>
  </si>
  <si>
    <t>Data visualization and performance tracking</t>
  </si>
  <si>
    <t>Predictive analysis</t>
  </si>
  <si>
    <t>Generating reports on performance and identifying trends.</t>
  </si>
  <si>
    <t>Customer Service and Support Agents</t>
  </si>
  <si>
    <t>Customer Service and Support Management</t>
  </si>
  <si>
    <t>Customer Service and Support Operations</t>
  </si>
  <si>
    <t>Activity for CSS Agent</t>
  </si>
  <si>
    <t>Open Arena</t>
  </si>
  <si>
    <t>Meeting transcription, notes and insights</t>
  </si>
  <si>
    <t>Predictive forecasting capabilities</t>
  </si>
  <si>
    <t>Salesforce Voice, Salesforce Knowledge, Intelligent Assistant, Sherlock, CSS Open Arena, Genesys</t>
  </si>
  <si>
    <t>Salesforce Case Summarization, Salesforce Voice</t>
  </si>
  <si>
    <t>Open Arena, M365 Copilot</t>
  </si>
  <si>
    <t>AIVA, AI tools used to create training</t>
  </si>
  <si>
    <t>Open Arena, Power Automate</t>
  </si>
  <si>
    <t>Salesforce, Intelligent Assistant</t>
  </si>
  <si>
    <t>Activity for CSS Operations</t>
  </si>
  <si>
    <t>Activity for CSS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</si>
</sst>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Aptos Narrow"/>
      <family val="2"/>
      <scheme val="minor"/>
    </font>
    <font>
      <b/>
      <sz val="10"/>
      <color theme="1"/>
      <name val="Clario Regular"/>
    </font>
    <font>
      <sz val="10"/>
      <color theme="1"/>
      <name val="Clario Regular"/>
    </font>
    <font>
      <b/>
      <sz val="10"/>
      <color rgb="FF000000"/>
      <name val="Clario Regular"/>
    </font>
    <font>
      <sz val="10"/>
      <color rgb="FF000000"/>
      <name val="Clario Regula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10" fontId="1" fillId="0" borderId="0" xfId="1" applyNumberFormat="1" applyFont="1" applyAlignment="1">
      <alignment vertical="center"/>
    </xf>
    <xf numFmtId="0" fontId="2" fillId="5" borderId="1" xfId="0" applyFont="1" applyFill="1" applyBorder="1" applyAlignment="1">
      <alignment horizontal="center" vertical="center" wrapText="1" readingOrder="1"/>
    </xf>
    <xf numFmtId="164" fontId="1" fillId="4" borderId="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 wrapText="1" readingOrder="1"/>
    </xf>
    <xf numFmtId="9" fontId="1" fillId="4" borderId="1" xfId="0" applyNumberFormat="1" applyFont="1" applyFill="1" applyBorder="1" applyAlignment="1">
      <alignment horizontal="center" vertical="center" wrapText="1" readingOrder="1"/>
    </xf>
    <xf numFmtId="9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3F51-8B58-C84E-97CF-5A810139051E}">
  <sheetPr>
    <tabColor rgb="FF00B050"/>
  </sheetPr>
  <dimension ref="A1:M9"/>
  <sheetViews>
    <sheetView tabSelected="1" zoomScaleNormal="100" workbookViewId="0">
      <selection activeCell="B10" sqref="B10"/>
    </sheetView>
  </sheetViews>
  <sheetFormatPr baseColWidth="10" defaultRowHeight="50" customHeight="1"/>
  <cols>
    <col min="1" max="1" width="25.83203125" style="6" customWidth="1"/>
    <col min="2" max="3" width="12.83203125" style="6" customWidth="1"/>
    <col min="4" max="4" width="20.83203125" style="6" customWidth="1"/>
    <col min="5" max="5" width="12.83203125" style="6" customWidth="1"/>
    <col min="6" max="7" width="25.83203125" style="6" customWidth="1"/>
    <col min="8" max="8" width="40.83203125" style="6" customWidth="1"/>
    <col min="9" max="9" width="10.83203125" style="6"/>
    <col min="10" max="10" width="20.83203125" style="6" customWidth="1"/>
    <col min="11" max="16384" width="10.83203125" style="6"/>
  </cols>
  <sheetData>
    <row r="1" spans="1:13" s="5" customFormat="1" ht="50" customHeight="1">
      <c r="A1" s="1" t="s">
        <v>43</v>
      </c>
      <c r="B1" s="1" t="s">
        <v>0</v>
      </c>
      <c r="C1" s="1" t="s">
        <v>13</v>
      </c>
      <c r="D1" s="1" t="s">
        <v>11</v>
      </c>
      <c r="E1" s="1" t="s">
        <v>12</v>
      </c>
      <c r="F1" s="1" t="s">
        <v>9</v>
      </c>
      <c r="G1" s="1" t="s">
        <v>10</v>
      </c>
      <c r="H1" s="1" t="s">
        <v>1</v>
      </c>
      <c r="J1" s="9" t="s">
        <v>7</v>
      </c>
      <c r="K1" s="9" t="s">
        <v>8</v>
      </c>
      <c r="L1" s="9" t="s">
        <v>6</v>
      </c>
    </row>
    <row r="2" spans="1:13" ht="50" customHeight="1">
      <c r="A2" s="2" t="s">
        <v>14</v>
      </c>
      <c r="B2" s="17">
        <v>0.5</v>
      </c>
      <c r="C2" s="3">
        <v>693</v>
      </c>
      <c r="D2" s="2" t="s">
        <v>47</v>
      </c>
      <c r="E2" s="2" t="s">
        <v>44</v>
      </c>
      <c r="F2" s="2" t="s">
        <v>15</v>
      </c>
      <c r="G2" s="14" t="s">
        <v>16</v>
      </c>
      <c r="H2" s="2" t="s">
        <v>17</v>
      </c>
      <c r="J2" s="7" t="s">
        <v>40</v>
      </c>
      <c r="K2" s="8">
        <f>1667-K3-K4</f>
        <v>1446</v>
      </c>
      <c r="L2" s="8">
        <f>1667-L3-L4</f>
        <v>1446</v>
      </c>
    </row>
    <row r="3" spans="1:13" ht="50" customHeight="1">
      <c r="A3" s="2" t="s">
        <v>18</v>
      </c>
      <c r="B3" s="17">
        <v>0.15</v>
      </c>
      <c r="C3" s="3">
        <v>207.9</v>
      </c>
      <c r="D3" s="2" t="s">
        <v>48</v>
      </c>
      <c r="E3" s="2" t="s">
        <v>49</v>
      </c>
      <c r="F3" s="2" t="s">
        <v>19</v>
      </c>
      <c r="G3" s="14" t="s">
        <v>20</v>
      </c>
      <c r="H3" s="2" t="s">
        <v>21</v>
      </c>
      <c r="J3" s="16" t="s">
        <v>41</v>
      </c>
      <c r="K3" s="8">
        <v>148</v>
      </c>
      <c r="L3" s="8">
        <v>148</v>
      </c>
    </row>
    <row r="4" spans="1:13" ht="50" customHeight="1">
      <c r="A4" s="2" t="s">
        <v>22</v>
      </c>
      <c r="B4" s="17">
        <v>0.1</v>
      </c>
      <c r="C4" s="3">
        <v>138.6</v>
      </c>
      <c r="D4" s="12" t="s">
        <v>2</v>
      </c>
      <c r="E4" s="2" t="s">
        <v>49</v>
      </c>
      <c r="F4" s="2" t="s">
        <v>45</v>
      </c>
      <c r="G4" s="14"/>
      <c r="H4" s="2" t="s">
        <v>23</v>
      </c>
      <c r="J4" s="7" t="s">
        <v>42</v>
      </c>
      <c r="K4" s="8">
        <v>73</v>
      </c>
      <c r="L4" s="8">
        <v>73</v>
      </c>
    </row>
    <row r="5" spans="1:13" ht="50" customHeight="1">
      <c r="A5" s="2" t="s">
        <v>24</v>
      </c>
      <c r="B5" s="19">
        <v>0.1</v>
      </c>
      <c r="C5" s="3">
        <v>138.6</v>
      </c>
      <c r="D5" s="2" t="s">
        <v>50</v>
      </c>
      <c r="E5" s="12" t="s">
        <v>2</v>
      </c>
      <c r="F5" s="2" t="s">
        <v>25</v>
      </c>
      <c r="G5" s="14" t="s">
        <v>26</v>
      </c>
      <c r="H5" s="2" t="s">
        <v>27</v>
      </c>
      <c r="J5" s="10" t="s">
        <v>3</v>
      </c>
      <c r="K5" s="10">
        <f>SUM(K2:K4)</f>
        <v>1667</v>
      </c>
      <c r="L5" s="10">
        <f>SUM(L2:L4)</f>
        <v>1667</v>
      </c>
      <c r="M5" s="11">
        <f>L5/K5</f>
        <v>1</v>
      </c>
    </row>
    <row r="6" spans="1:13" ht="50" customHeight="1">
      <c r="A6" s="6" t="s">
        <v>28</v>
      </c>
      <c r="B6" s="17">
        <v>0.05</v>
      </c>
      <c r="C6" s="3">
        <v>69.3</v>
      </c>
      <c r="D6" s="12" t="s">
        <v>2</v>
      </c>
      <c r="E6" s="2" t="s">
        <v>49</v>
      </c>
      <c r="F6" s="2" t="s">
        <v>29</v>
      </c>
      <c r="G6" s="14"/>
      <c r="H6" s="2" t="s">
        <v>30</v>
      </c>
    </row>
    <row r="7" spans="1:13" ht="50" customHeight="1">
      <c r="A7" s="2" t="s">
        <v>31</v>
      </c>
      <c r="B7" s="17">
        <v>0.05</v>
      </c>
      <c r="C7" s="3">
        <v>69.3</v>
      </c>
      <c r="D7" s="2" t="s">
        <v>32</v>
      </c>
      <c r="E7" s="2" t="s">
        <v>51</v>
      </c>
      <c r="F7" s="2" t="s">
        <v>33</v>
      </c>
      <c r="G7" s="14" t="s">
        <v>34</v>
      </c>
      <c r="H7" s="2" t="s">
        <v>35</v>
      </c>
    </row>
    <row r="8" spans="1:13" ht="50" customHeight="1">
      <c r="A8" s="2" t="s">
        <v>36</v>
      </c>
      <c r="B8" s="17">
        <v>0.05</v>
      </c>
      <c r="C8" s="3">
        <v>69.3</v>
      </c>
      <c r="D8" s="2" t="s">
        <v>52</v>
      </c>
      <c r="E8" s="2" t="s">
        <v>44</v>
      </c>
      <c r="F8" s="2" t="s">
        <v>37</v>
      </c>
      <c r="G8" s="14" t="s">
        <v>38</v>
      </c>
      <c r="H8" s="2" t="s">
        <v>39</v>
      </c>
    </row>
    <row r="9" spans="1:13" ht="50" customHeight="1">
      <c r="A9" s="4" t="s">
        <v>3</v>
      </c>
      <c r="B9" s="4" t="s">
        <v>4</v>
      </c>
      <c r="C9" s="13">
        <f>SUM(C2:C8)</f>
        <v>1385.9999999999998</v>
      </c>
      <c r="D9" s="4"/>
      <c r="E9" s="4"/>
      <c r="F9" s="4"/>
      <c r="G9" s="4"/>
      <c r="H9" s="4" t="s">
        <v>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D890-FEF4-1F49-8EED-167243F82393}">
  <sheetPr>
    <tabColor rgb="FF00B050"/>
  </sheetPr>
  <dimension ref="A1:M7"/>
  <sheetViews>
    <sheetView zoomScaleNormal="100" workbookViewId="0">
      <selection activeCell="A8" sqref="A8:XFD50"/>
    </sheetView>
  </sheetViews>
  <sheetFormatPr baseColWidth="10" defaultRowHeight="50" customHeight="1"/>
  <cols>
    <col min="1" max="1" width="25.83203125" style="6" customWidth="1"/>
    <col min="2" max="3" width="12.83203125" style="6" customWidth="1"/>
    <col min="4" max="4" width="20.83203125" style="6" customWidth="1"/>
    <col min="5" max="5" width="12.83203125" style="6" customWidth="1"/>
    <col min="6" max="7" width="25.83203125" style="6" customWidth="1"/>
    <col min="8" max="8" width="40.83203125" style="6" customWidth="1"/>
    <col min="9" max="9" width="10.83203125" style="6"/>
    <col min="10" max="10" width="20.83203125" style="6" customWidth="1"/>
    <col min="11" max="16384" width="10.83203125" style="6"/>
  </cols>
  <sheetData>
    <row r="1" spans="1:13" s="5" customFormat="1" ht="50" customHeight="1">
      <c r="A1" s="1" t="s">
        <v>53</v>
      </c>
      <c r="B1" s="1" t="s">
        <v>0</v>
      </c>
      <c r="C1" s="1" t="s">
        <v>13</v>
      </c>
      <c r="D1" s="1" t="s">
        <v>11</v>
      </c>
      <c r="E1" s="1" t="s">
        <v>12</v>
      </c>
      <c r="F1" s="1" t="s">
        <v>9</v>
      </c>
      <c r="G1" s="1" t="s">
        <v>10</v>
      </c>
      <c r="H1" s="1" t="s">
        <v>1</v>
      </c>
      <c r="J1" s="9" t="s">
        <v>7</v>
      </c>
      <c r="K1" s="9" t="s">
        <v>8</v>
      </c>
      <c r="L1" s="9" t="s">
        <v>6</v>
      </c>
    </row>
    <row r="2" spans="1:13" ht="50" customHeight="1">
      <c r="A2" s="2" t="s">
        <v>22</v>
      </c>
      <c r="B2" s="17">
        <v>0.1</v>
      </c>
      <c r="C2" s="15">
        <v>7</v>
      </c>
      <c r="D2" s="12" t="s">
        <v>2</v>
      </c>
      <c r="E2" s="2" t="s">
        <v>49</v>
      </c>
      <c r="F2" s="2" t="s">
        <v>45</v>
      </c>
      <c r="G2" s="14"/>
      <c r="H2" s="2" t="s">
        <v>23</v>
      </c>
      <c r="J2" s="7" t="s">
        <v>40</v>
      </c>
      <c r="K2" s="8">
        <f>1667-K3-K4</f>
        <v>1446</v>
      </c>
      <c r="L2" s="8">
        <f>1667-L3-L4</f>
        <v>1446</v>
      </c>
    </row>
    <row r="3" spans="1:13" ht="50" customHeight="1">
      <c r="A3" s="2" t="s">
        <v>24</v>
      </c>
      <c r="B3" s="17">
        <v>0.2</v>
      </c>
      <c r="C3" s="15">
        <v>14</v>
      </c>
      <c r="D3" s="3" t="s">
        <v>50</v>
      </c>
      <c r="E3" s="12" t="s">
        <v>2</v>
      </c>
      <c r="F3" s="2" t="s">
        <v>25</v>
      </c>
      <c r="G3" s="14" t="s">
        <v>26</v>
      </c>
      <c r="H3" s="2" t="s">
        <v>27</v>
      </c>
      <c r="J3" s="16" t="s">
        <v>41</v>
      </c>
      <c r="K3" s="8">
        <v>148</v>
      </c>
      <c r="L3" s="8">
        <v>148</v>
      </c>
    </row>
    <row r="4" spans="1:13" ht="50" customHeight="1">
      <c r="A4" s="2" t="s">
        <v>28</v>
      </c>
      <c r="B4" s="19">
        <v>0.1</v>
      </c>
      <c r="C4" s="15">
        <v>7</v>
      </c>
      <c r="D4" s="12" t="s">
        <v>2</v>
      </c>
      <c r="E4" s="2" t="s">
        <v>49</v>
      </c>
      <c r="F4" s="2" t="s">
        <v>29</v>
      </c>
      <c r="G4" s="14"/>
      <c r="H4" s="2" t="s">
        <v>30</v>
      </c>
      <c r="J4" s="7" t="s">
        <v>42</v>
      </c>
      <c r="K4" s="8">
        <v>73</v>
      </c>
      <c r="L4" s="8">
        <v>73</v>
      </c>
    </row>
    <row r="5" spans="1:13" ht="50" customHeight="1">
      <c r="A5" s="6" t="s">
        <v>31</v>
      </c>
      <c r="B5" s="17">
        <v>0.5</v>
      </c>
      <c r="C5" s="15">
        <v>37</v>
      </c>
      <c r="D5" s="3" t="s">
        <v>32</v>
      </c>
      <c r="E5" s="2" t="s">
        <v>51</v>
      </c>
      <c r="F5" s="2" t="s">
        <v>33</v>
      </c>
      <c r="G5" s="14" t="s">
        <v>46</v>
      </c>
      <c r="H5" s="2" t="s">
        <v>35</v>
      </c>
      <c r="J5" s="10" t="s">
        <v>3</v>
      </c>
      <c r="K5" s="10">
        <f>SUM(K2:K4)</f>
        <v>1667</v>
      </c>
      <c r="L5" s="10">
        <f>SUM(L2:L4)</f>
        <v>1667</v>
      </c>
      <c r="M5" s="11">
        <f>L5/K5</f>
        <v>1</v>
      </c>
    </row>
    <row r="6" spans="1:13" ht="50" customHeight="1">
      <c r="A6" s="2" t="s">
        <v>36</v>
      </c>
      <c r="B6" s="17">
        <v>0.1</v>
      </c>
      <c r="C6" s="15">
        <v>7</v>
      </c>
      <c r="D6" s="2" t="s">
        <v>52</v>
      </c>
      <c r="E6" s="2" t="s">
        <v>44</v>
      </c>
      <c r="F6" s="2" t="s">
        <v>37</v>
      </c>
      <c r="G6" s="14" t="s">
        <v>38</v>
      </c>
      <c r="H6" s="2" t="s">
        <v>39</v>
      </c>
    </row>
    <row r="7" spans="1:13" ht="50" customHeight="1">
      <c r="A7" s="4" t="s">
        <v>3</v>
      </c>
      <c r="B7" s="18">
        <f>SUM(B2:B6)</f>
        <v>1</v>
      </c>
      <c r="C7" s="13">
        <f>SUM(C2:C6)</f>
        <v>72</v>
      </c>
      <c r="D7" s="4"/>
      <c r="E7" s="4"/>
      <c r="F7" s="4"/>
      <c r="G7" s="4"/>
      <c r="H7" s="4" t="s">
        <v>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BDD3-EAAB-4740-8413-69F4DBE9738E}">
  <sheetPr>
    <tabColor rgb="FF00B050"/>
  </sheetPr>
  <dimension ref="A1:M7"/>
  <sheetViews>
    <sheetView zoomScaleNormal="100" workbookViewId="0">
      <selection activeCell="A9" sqref="A9:XFD25"/>
    </sheetView>
  </sheetViews>
  <sheetFormatPr baseColWidth="10" defaultRowHeight="50" customHeight="1"/>
  <cols>
    <col min="1" max="1" width="25.83203125" style="6" customWidth="1"/>
    <col min="2" max="3" width="12.83203125" style="6" customWidth="1"/>
    <col min="4" max="4" width="20.83203125" style="6" customWidth="1"/>
    <col min="5" max="5" width="12.83203125" style="6" customWidth="1"/>
    <col min="6" max="7" width="25.83203125" style="6" customWidth="1"/>
    <col min="8" max="8" width="40.83203125" style="6" customWidth="1"/>
    <col min="9" max="9" width="10.83203125" style="6"/>
    <col min="10" max="10" width="20.83203125" style="6" customWidth="1"/>
    <col min="11" max="16384" width="10.83203125" style="6"/>
  </cols>
  <sheetData>
    <row r="1" spans="1:13" s="5" customFormat="1" ht="50" customHeight="1">
      <c r="A1" s="1" t="s">
        <v>54</v>
      </c>
      <c r="B1" s="1" t="s">
        <v>0</v>
      </c>
      <c r="C1" s="1" t="s">
        <v>13</v>
      </c>
      <c r="D1" s="1" t="s">
        <v>11</v>
      </c>
      <c r="E1" s="1" t="s">
        <v>12</v>
      </c>
      <c r="F1" s="1" t="s">
        <v>9</v>
      </c>
      <c r="G1" s="1" t="s">
        <v>10</v>
      </c>
      <c r="H1" s="1" t="s">
        <v>1</v>
      </c>
      <c r="J1" s="9" t="s">
        <v>7</v>
      </c>
      <c r="K1" s="9" t="s">
        <v>8</v>
      </c>
      <c r="L1" s="9" t="s">
        <v>6</v>
      </c>
    </row>
    <row r="2" spans="1:13" ht="50" customHeight="1">
      <c r="A2" s="2" t="s">
        <v>22</v>
      </c>
      <c r="B2" s="17">
        <v>0.25</v>
      </c>
      <c r="C2" s="15">
        <f>B2*148</f>
        <v>37</v>
      </c>
      <c r="D2" s="12" t="s">
        <v>2</v>
      </c>
      <c r="E2" s="2" t="s">
        <v>49</v>
      </c>
      <c r="F2" s="2" t="s">
        <v>45</v>
      </c>
      <c r="G2" s="14"/>
      <c r="H2" s="2" t="s">
        <v>23</v>
      </c>
      <c r="J2" s="7" t="s">
        <v>40</v>
      </c>
      <c r="K2" s="8">
        <f>1667-K3-K4</f>
        <v>1446</v>
      </c>
      <c r="L2" s="8">
        <f>1667-L3-L4</f>
        <v>1446</v>
      </c>
    </row>
    <row r="3" spans="1:13" ht="50" customHeight="1">
      <c r="A3" s="2" t="s">
        <v>24</v>
      </c>
      <c r="B3" s="17">
        <v>0.45</v>
      </c>
      <c r="C3" s="15">
        <f t="shared" ref="C3:C6" si="0">B3*148</f>
        <v>66.600000000000009</v>
      </c>
      <c r="D3" s="2" t="s">
        <v>50</v>
      </c>
      <c r="E3" s="12" t="s">
        <v>2</v>
      </c>
      <c r="F3" s="2" t="s">
        <v>25</v>
      </c>
      <c r="G3" s="14" t="s">
        <v>26</v>
      </c>
      <c r="H3" s="2" t="s">
        <v>27</v>
      </c>
      <c r="J3" s="16" t="s">
        <v>41</v>
      </c>
      <c r="K3" s="8">
        <v>148</v>
      </c>
      <c r="L3" s="8">
        <v>148</v>
      </c>
    </row>
    <row r="4" spans="1:13" ht="50" customHeight="1">
      <c r="A4" s="2" t="s">
        <v>28</v>
      </c>
      <c r="B4" s="19">
        <v>0.1</v>
      </c>
      <c r="C4" s="15">
        <f t="shared" si="0"/>
        <v>14.8</v>
      </c>
      <c r="D4" s="12" t="s">
        <v>2</v>
      </c>
      <c r="E4" s="2" t="s">
        <v>49</v>
      </c>
      <c r="F4" s="2" t="s">
        <v>29</v>
      </c>
      <c r="G4" s="14"/>
      <c r="H4" s="2" t="s">
        <v>30</v>
      </c>
      <c r="J4" s="7" t="s">
        <v>42</v>
      </c>
      <c r="K4" s="8">
        <v>73</v>
      </c>
      <c r="L4" s="8">
        <v>73</v>
      </c>
    </row>
    <row r="5" spans="1:13" ht="50" customHeight="1">
      <c r="A5" s="6" t="s">
        <v>31</v>
      </c>
      <c r="B5" s="17">
        <v>0.1</v>
      </c>
      <c r="C5" s="15">
        <f t="shared" si="0"/>
        <v>14.8</v>
      </c>
      <c r="D5" s="2" t="s">
        <v>32</v>
      </c>
      <c r="E5" s="2" t="s">
        <v>51</v>
      </c>
      <c r="F5" s="2" t="s">
        <v>33</v>
      </c>
      <c r="G5" s="14" t="s">
        <v>34</v>
      </c>
      <c r="H5" s="2" t="s">
        <v>35</v>
      </c>
      <c r="J5" s="10" t="s">
        <v>3</v>
      </c>
      <c r="K5" s="10">
        <f>SUM(K2:K4)</f>
        <v>1667</v>
      </c>
      <c r="L5" s="10">
        <f>SUM(L2:L4)</f>
        <v>1667</v>
      </c>
      <c r="M5" s="11">
        <f>L5/K5</f>
        <v>1</v>
      </c>
    </row>
    <row r="6" spans="1:13" ht="50" customHeight="1">
      <c r="A6" s="2" t="s">
        <v>36</v>
      </c>
      <c r="B6" s="17">
        <v>0.1</v>
      </c>
      <c r="C6" s="15">
        <f t="shared" si="0"/>
        <v>14.8</v>
      </c>
      <c r="D6" s="2" t="s">
        <v>52</v>
      </c>
      <c r="E6" s="2" t="s">
        <v>44</v>
      </c>
      <c r="F6" s="2" t="s">
        <v>37</v>
      </c>
      <c r="G6" s="14" t="s">
        <v>38</v>
      </c>
      <c r="H6" s="2" t="s">
        <v>39</v>
      </c>
    </row>
    <row r="7" spans="1:13" ht="50" customHeight="1">
      <c r="A7" s="4" t="s">
        <v>3</v>
      </c>
      <c r="B7" s="18">
        <f>SUM(B2:B6)</f>
        <v>0.99999999999999989</v>
      </c>
      <c r="C7" s="13">
        <f>SUM(C2:C6)</f>
        <v>148.00000000000003</v>
      </c>
      <c r="D7" s="4"/>
      <c r="E7" s="4"/>
      <c r="F7" s="4"/>
      <c r="G7" s="4"/>
      <c r="H7" s="4" t="s">
        <v>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356F22EB19E40B05B0E62E3C1179B" ma:contentTypeVersion="15" ma:contentTypeDescription="Create a new document." ma:contentTypeScope="" ma:versionID="a81e4cb1d2e1bdc71d9d547fda8c957f">
  <xsd:schema xmlns:xsd="http://www.w3.org/2001/XMLSchema" xmlns:xs="http://www.w3.org/2001/XMLSchema" xmlns:p="http://schemas.microsoft.com/office/2006/metadata/properties" xmlns:ns1="http://schemas.microsoft.com/sharepoint/v3" xmlns:ns2="6604ad59-e963-4310-8574-13f5eb50b5fb" xmlns:ns3="fff77ca8-25b3-4918-80a3-cc82c422718d" targetNamespace="http://schemas.microsoft.com/office/2006/metadata/properties" ma:root="true" ma:fieldsID="d7138df3638399aedb07a12beaf3524b" ns1:_="" ns2:_="" ns3:_="">
    <xsd:import namespace="http://schemas.microsoft.com/sharepoint/v3"/>
    <xsd:import namespace="6604ad59-e963-4310-8574-13f5eb50b5fb"/>
    <xsd:import namespace="fff77ca8-25b3-4918-80a3-cc82c4227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4ad59-e963-4310-8574-13f5eb50b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3a93e6a-eb94-4f22-847d-80c377548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77ca8-25b3-4918-80a3-cc82c4227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04ad59-e963-4310-8574-13f5eb50b5f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F2B7950-E27F-4692-A300-28333D7D3291}"/>
</file>

<file path=customXml/itemProps2.xml><?xml version="1.0" encoding="utf-8"?>
<ds:datastoreItem xmlns:ds="http://schemas.openxmlformats.org/officeDocument/2006/customXml" ds:itemID="{E15D72AD-976C-43CE-9C8F-120D024FB95F}"/>
</file>

<file path=customXml/itemProps3.xml><?xml version="1.0" encoding="utf-8"?>
<ds:datastoreItem xmlns:ds="http://schemas.openxmlformats.org/officeDocument/2006/customXml" ds:itemID="{711A689D-0738-4ED8-8A5B-C398E6A4B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CSS Agent</vt:lpstr>
      <vt:lpstr>CSS Ops</vt:lpstr>
      <vt:lpstr>CSS 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Samson, Richie M. (Operations &amp; Technology)</dc:creator>
  <cp:lastModifiedBy>Samson, Richie M. (Operations &amp; Technology)</cp:lastModifiedBy>
  <dcterms:created xsi:type="dcterms:W3CDTF">2025-06-02T04:57:39Z</dcterms:created>
  <dcterms:modified xsi:type="dcterms:W3CDTF">2025-10-23T14:55:27Z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0x010100B77356F22EB19E40B05B0E62E3C1179B</vt:lpwstr>
  </property>
</Properties>
</file>