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ichiemarwinsamson/Downloads/"/>
    </mc:Choice>
  </mc:AlternateContent>
  <xr:revisionPtr revIDLastSave="0" documentId="13_ncr:1_{3136D6E6-F44F-8C43-9A6F-9BE632020A8E}" xr6:coauthVersionLast="47" xr6:coauthVersionMax="47" xr10:uidLastSave="{00000000-0000-0000-0000-000000000000}"/>
  <bookViews>
    <workbookView xWindow="0" yWindow="680" windowWidth="34560" windowHeight="19780" activeTab="1" xr2:uid="{73439CD3-A02F-0C40-95DD-86A4C1C86C3F}"/>
  </bookViews>
  <sheets>
    <sheet name="Legal Role Type" sheetId="8" r:id="rId1"/>
    <sheet name="Customer Success" sheetId="10" r:id="rId2"/>
    <sheet name="Solutions Engg" sheetId="11" r:id="rId3"/>
    <sheet name="Cust Education" sheetId="12" r:id="rId4"/>
    <sheet name="Strategy" sheetId="13" r:id="rId5"/>
    <sheet name="Trials" sheetId="14" r:id="rId6"/>
    <sheet name="Gen Manager" sheetId="15" r:id="rId7"/>
    <sheet name="Exec Asst" sheetId="16" r:id="rId8"/>
    <sheet name="Services" sheetId="17" r:id="rId9"/>
  </sheets>
  <definedNames>
    <definedName name="_xlnm._FilterDatabase" localSheetId="3" hidden="1">'Cust Education'!$I$1:$M$1</definedName>
    <definedName name="_xlnm._FilterDatabase" localSheetId="1" hidden="1">'Customer Success'!$A$1:$M$1</definedName>
    <definedName name="_xlnm._FilterDatabase" localSheetId="7" hidden="1">'Exec Asst'!$I$1:$M$1</definedName>
    <definedName name="_xlnm._FilterDatabase" localSheetId="6" hidden="1">'Gen Manager'!$I$1:$M$1</definedName>
    <definedName name="_xlnm._FilterDatabase" localSheetId="8" hidden="1">Services!$I$1:$M$1</definedName>
    <definedName name="_xlnm._FilterDatabase" localSheetId="2" hidden="1">'Solutions Engg'!$I$1:$M$1</definedName>
    <definedName name="_xlnm._FilterDatabase" localSheetId="4" hidden="1">Strategy!$I$1:$M$1</definedName>
    <definedName name="_xlnm._FilterDatabase" localSheetId="5" hidden="1">Trials!$I$1:$M$1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7" l="1"/>
  <c r="C3" i="17"/>
  <c r="C2" i="17"/>
  <c r="K10" i="17"/>
  <c r="B3" i="16"/>
  <c r="C2" i="16"/>
  <c r="K10" i="16"/>
  <c r="B5" i="15"/>
  <c r="C4" i="15"/>
  <c r="C3" i="15"/>
  <c r="C2" i="15"/>
  <c r="K10" i="15"/>
  <c r="B3" i="14"/>
  <c r="C2" i="14"/>
  <c r="K10" i="14"/>
  <c r="B4" i="13"/>
  <c r="C3" i="13"/>
  <c r="C2" i="13"/>
  <c r="K10" i="13"/>
  <c r="B6" i="12"/>
  <c r="C5" i="12"/>
  <c r="C4" i="12"/>
  <c r="C3" i="12"/>
  <c r="C2" i="12"/>
  <c r="K10" i="12"/>
  <c r="K10" i="11"/>
  <c r="B5" i="11"/>
  <c r="C4" i="11"/>
  <c r="C3" i="11"/>
  <c r="C2" i="11"/>
  <c r="B10" i="8"/>
  <c r="K10" i="10" l="1"/>
  <c r="B4" i="10"/>
  <c r="C3" i="10"/>
  <c r="C2" i="10"/>
</calcChain>
</file>

<file path=xl/sharedStrings.xml><?xml version="1.0" encoding="utf-8"?>
<sst xmlns="http://schemas.openxmlformats.org/spreadsheetml/2006/main" count="364" uniqueCount="91">
  <si>
    <t>Role Type 
(Employees Only)</t>
  </si>
  <si>
    <t>HC</t>
  </si>
  <si>
    <t xml:space="preserve">Roles in Scope </t>
  </si>
  <si>
    <t>Customer Success (Senthil)</t>
  </si>
  <si>
    <t xml:space="preserve">Customer Success Manager
</t>
  </si>
  <si>
    <t>Customer Success - Solutions Engineering (Valerie)</t>
  </si>
  <si>
    <t xml:space="preserve">Solutions Consultants
Customer Product Training
AI Prompt Specialist
Product Specialist
</t>
  </si>
  <si>
    <t>Customer Success - Customer Education (Stacy)</t>
  </si>
  <si>
    <t xml:space="preserve">Customer Education Manager
eLearning
Digital Customer Success 
Learning Experience Designer
</t>
  </si>
  <si>
    <t>Strategy</t>
  </si>
  <si>
    <t xml:space="preserve">GTM Strategy
Pricing &amp; Revenue
Transformation
</t>
  </si>
  <si>
    <t>General Manager</t>
  </si>
  <si>
    <t>General Managers (LP)</t>
  </si>
  <si>
    <t>Executive Assistants</t>
  </si>
  <si>
    <t>EAs (LP)</t>
  </si>
  <si>
    <t>Services</t>
  </si>
  <si>
    <t>Project Manager 
Client Advisory</t>
  </si>
  <si>
    <t>Trials</t>
  </si>
  <si>
    <t>Trial Strategist
Trial Specialist</t>
  </si>
  <si>
    <t>Total</t>
  </si>
  <si>
    <t xml:space="preserve"> Customer Success Activity</t>
  </si>
  <si>
    <t>Estimated % of Time Spent</t>
  </si>
  <si>
    <t>FTE</t>
  </si>
  <si>
    <t>Functional AI Tools (Applicable)</t>
  </si>
  <si>
    <t>Generic AI Assistants (Applicable)</t>
  </si>
  <si>
    <t>Existing AI Use Cases</t>
  </si>
  <si>
    <t>Proposed Use Cases</t>
  </si>
  <si>
    <t>Notes</t>
  </si>
  <si>
    <t>Client Engagement / Meeting Prep — Summary and
Customer Engagement Prep — Prompting</t>
  </si>
  <si>
    <t>Gainsight, Gong</t>
  </si>
  <si>
    <t>Copilot</t>
  </si>
  <si>
    <t>AI Cheat Sheet (summary); Copilot prompting in Gainsight</t>
  </si>
  <si>
    <t>Expand to SLF/LPE; activate the newly launched Gong–Gainsight integration.
Develop workflows aligned to the Customer Success operating model (e.g., “The 6th" for SLF quote‑carrying reps).</t>
  </si>
  <si>
    <t>LPE planned for Q4, SLF planned for 2026</t>
  </si>
  <si>
    <t>Generic Tools: OA, Copilot 365, Power Platform, CoCounsel</t>
  </si>
  <si>
    <t>AI-Assisted Planning &amp; Portfolio Management</t>
  </si>
  <si>
    <t>Open Arena</t>
  </si>
  <si>
    <t>Portfolio Management, Success Planning and Summaries</t>
  </si>
  <si>
    <t xml:space="preserve">Gainsight Group Send. </t>
  </si>
  <si>
    <t>(Estimates are ranges and averages)</t>
  </si>
  <si>
    <t xml:space="preserve">Customer Education Manager
eLearning
Digital Customer Success
Learning Experience Designer
</t>
  </si>
  <si>
    <t xml:space="preserve"> Customer Success - Solutions Engineering  Activity</t>
  </si>
  <si>
    <t>Preparing and Conducting a Demo</t>
  </si>
  <si>
    <t>CoCounsel</t>
  </si>
  <si>
    <t>Product Demo Support &amp; Q&amp;A
Demo Preparation &amp; Delivery, Coaching &amp; Evaluation</t>
  </si>
  <si>
    <t>Develop workflows aligned to the Customer Success - Solutions Engeeering operating model (e.g., “The 6th" for SLF quote‑carrying reps).</t>
  </si>
  <si>
    <t xml:space="preserve">The Solutions Architects on Judy's team will have 9 FTEs as of 10/1. The Solutions Architects on Maddie's team will have 4 FTEs as of 10/1. Maddie has shared with her team a tool developed in Open Arena that uses a RAG chain to retrieve guidance on CoCounsel's skills to create workflows for CS. </t>
  </si>
  <si>
    <t>Internal Knowledge &amp; Coaching</t>
  </si>
  <si>
    <t>NA</t>
  </si>
  <si>
    <t>Coaching &amp; Evaluation, Communication &amp; Content, Internal Knowledge &amp; Recaps</t>
  </si>
  <si>
    <t>Optimize workflow/best practices across Copilot/Gong</t>
  </si>
  <si>
    <t xml:space="preserve">Licenses for the full CoPilot capabilities are no longer available, limiting usefulness. Workday has some AI tools for coaching relating to performance that could be helpful to share wider. </t>
  </si>
  <si>
    <t>Understand your Customer</t>
  </si>
  <si>
    <t>Gong</t>
  </si>
  <si>
    <t xml:space="preserve">Win/Loss Analysis &amp; Reporting, Post-Sale Handoff &amp; Enablement </t>
  </si>
  <si>
    <t xml:space="preserve">The Solutions Architects on Judy's team currently track Win/Loss analysis and reporting via Salesforce and have no access to Gainsight. They are working on some post-sales accounts and it would be very helpful to have access to this information and to log activities there. The same is true for Maddie's team; progress has been made on getting access to Gainsight, but implementing systems will take time. Additionally, Gong licenses are exhausted, so coverage of my team is not uniform. </t>
  </si>
  <si>
    <t xml:space="preserve"> Customer Success - Customer Education  Activity</t>
  </si>
  <si>
    <t>Training Curriculum, Scripts &amp; Exams, Training preparation</t>
  </si>
  <si>
    <t>Writing Scripts, Creation of Exam Questions; Practice area and persona research; drafting community posts and emails</t>
  </si>
  <si>
    <t>Develop workflows aligned to the Customer Success - Customer Education operating model (e.g., “The 6th" for SLF quote‑carrying reps).</t>
  </si>
  <si>
    <t>Internal Knowledge &amp; Recaps, Customer Training Preparation</t>
  </si>
  <si>
    <t>Meeting notes, follow-ups, email summaries, meeting prep, search emails/chats, drafting sample documents for use in trainings, ppt creation (managers)</t>
  </si>
  <si>
    <t>AI Assisted Customer Engagement &amp; Documentation</t>
  </si>
  <si>
    <t>Review calls shared by others; pilot team currently using AI Briefs for onboarding training handoff</t>
  </si>
  <si>
    <t>Optimize workflow/best practices across Copilot/Gong; Call Sharing with Customers and internals, Generate follow-up emails, Key Discussion Points &amp; Next Steps, Pre Training Notes, Customer Testimonials, Customer Pain Trackers, Rep Responsiveness, Competitor Insight, Manager Call Coaching, Customer Sentiment, Account handoff (AI Briefs)</t>
  </si>
  <si>
    <t xml:space="preserve"> CEMs have access to limited version of Gong today; with full access and ability to record and capture CEM calls, tool will will be used significantly more; expect to move to 15%</t>
  </si>
  <si>
    <t>Customer Profile &amp; Health Index</t>
  </si>
  <si>
    <t>Gainsight</t>
  </si>
  <si>
    <t>Coming online Q4 2025: Serves up key customer data that is hidden in Salesforce (currently takes a significant amount of time to research)</t>
  </si>
  <si>
    <t>Customer 360 serves as the single source of truth for customer data, including upcoming renewals.
Training events are recorded to improve the Health Index and drive measurable customer outcomes. Future - automated data driven calls to action (e.g. low usage, etc.)</t>
  </si>
  <si>
    <t>Gainsight launching to team in Q4; expect 25%-40%</t>
  </si>
  <si>
    <t>Trials  Activity</t>
  </si>
  <si>
    <t>Prepare usage for Managed Trials</t>
  </si>
  <si>
    <t>Meeting recaps, Teams activity summaries, Excel formulas, Trial Usage Decks</t>
  </si>
  <si>
    <t>Leverage Open Arena to resolve SAP and LaunchPad errors efficiently.</t>
  </si>
  <si>
    <t>Strategy Activity</t>
  </si>
  <si>
    <t>AI Assisted Planning &amp; Documentation</t>
  </si>
  <si>
    <t>Project Planning, Documentation ,Asset Drafting, Summaries</t>
  </si>
  <si>
    <t>Prepare Good/Better/Best packages for LP Pricing Teams. Design Promo Calendars. Compliance and Audit: detect outliers. Structre agendas, pre-reads, and decision briefs for SteerCos and Deal Reviews.</t>
  </si>
  <si>
    <t>Internal Knowledge &amp; Recaps</t>
  </si>
  <si>
    <t>Meeting recaps, Teams activity summaries</t>
  </si>
  <si>
    <t xml:space="preserve">Drafting Memos/Executive Summaries, Creation of PPT Decks </t>
  </si>
  <si>
    <t>General Managers Activity</t>
  </si>
  <si>
    <t>Business Preformance, Strategy &amp; Planning, Operations &amp; Execution, Transformation &amp; Change</t>
  </si>
  <si>
    <t>Win/loss, Competitive Insights, Manager Call Coaching, Customer Sentiment</t>
  </si>
  <si>
    <t>Forecast Accuracy, Pipeline Hygeine, Deal Execution, Renewal Risk, Onboarding Acceleration, QBR Effectiveness</t>
  </si>
  <si>
    <t>Talent Heatmap/Performance Snapshots</t>
  </si>
  <si>
    <t>EA Activity</t>
  </si>
  <si>
    <t>Travel Command Center, Stakeholder Maps, Pre-read curation, Budget Watch</t>
  </si>
  <si>
    <t>Services  Activity</t>
  </si>
  <si>
    <t>Discovery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</si>
</sst>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b/>
      <sz val="10"/>
      <color theme="1"/>
      <name val="Clario Regular"/>
    </font>
    <font>
      <sz val="10"/>
      <color theme="1"/>
      <name val="Clario Regular"/>
    </font>
    <font>
      <b/>
      <sz val="10"/>
      <color rgb="FF000000"/>
      <name val="Clario Regular"/>
    </font>
    <font>
      <sz val="10"/>
      <color rgb="FF000000"/>
      <name val="Clario Regular"/>
    </font>
    <font>
      <sz val="12"/>
      <color theme="1"/>
      <name val="Aptos Narrow"/>
      <family val="2"/>
      <scheme val="minor"/>
    </font>
    <font>
      <sz val="10"/>
      <name val="Clario Regula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quotePrefix="1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quotePrefix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0" borderId="1" xfId="1" applyNumberFormat="1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9" fontId="2" fillId="0" borderId="4" xfId="1" applyFont="1" applyBorder="1" applyAlignment="1">
      <alignment horizontal="center" vertical="center" wrapText="1" readingOrder="1"/>
    </xf>
    <xf numFmtId="9" fontId="2" fillId="0" borderId="1" xfId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9" fontId="2" fillId="3" borderId="1" xfId="1" applyFont="1" applyFill="1" applyBorder="1" applyAlignment="1">
      <alignment horizontal="center" vertical="center" wrapText="1" readingOrder="1"/>
    </xf>
    <xf numFmtId="9" fontId="2" fillId="0" borderId="3" xfId="1" applyFont="1" applyBorder="1" applyAlignment="1">
      <alignment horizontal="center" vertical="center" wrapText="1" readingOrder="1"/>
    </xf>
    <xf numFmtId="10" fontId="1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4" borderId="1" xfId="0" quotePrefix="1" applyFont="1" applyFill="1" applyBorder="1" applyAlignment="1">
      <alignment horizontal="center" vertical="center" wrapText="1" readingOrder="1"/>
    </xf>
    <xf numFmtId="9" fontId="3" fillId="4" borderId="1" xfId="0" applyNumberFormat="1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BC2B-DED4-4100-84F4-1AFBFE990FD6}">
  <dimension ref="A1:C10"/>
  <sheetViews>
    <sheetView workbookViewId="0">
      <selection activeCell="C4" sqref="C4"/>
    </sheetView>
  </sheetViews>
  <sheetFormatPr baseColWidth="10" defaultColWidth="9" defaultRowHeight="16"/>
  <cols>
    <col min="1" max="1" width="26.5" style="11" customWidth="1"/>
    <col min="2" max="2" width="19.83203125" style="11" customWidth="1"/>
    <col min="3" max="3" width="26.83203125" style="11" customWidth="1"/>
    <col min="4" max="16384" width="9" style="11"/>
  </cols>
  <sheetData>
    <row r="1" spans="1:3" ht="28">
      <c r="A1" s="4" t="s">
        <v>0</v>
      </c>
      <c r="B1" s="4" t="s">
        <v>1</v>
      </c>
      <c r="C1" s="4" t="s">
        <v>2</v>
      </c>
    </row>
    <row r="2" spans="1:3" ht="28">
      <c r="A2" s="6" t="s">
        <v>3</v>
      </c>
      <c r="B2" s="6">
        <v>25</v>
      </c>
      <c r="C2" s="6" t="s">
        <v>4</v>
      </c>
    </row>
    <row r="3" spans="1:3" ht="70">
      <c r="A3" s="6" t="s">
        <v>5</v>
      </c>
      <c r="B3" s="6">
        <v>29</v>
      </c>
      <c r="C3" s="6" t="s">
        <v>6</v>
      </c>
    </row>
    <row r="4" spans="1:3" ht="70">
      <c r="A4" s="6" t="s">
        <v>7</v>
      </c>
      <c r="B4" s="6">
        <v>82</v>
      </c>
      <c r="C4" s="6" t="s">
        <v>8</v>
      </c>
    </row>
    <row r="5" spans="1:3" ht="56">
      <c r="A5" s="6" t="s">
        <v>9</v>
      </c>
      <c r="B5" s="6">
        <v>31</v>
      </c>
      <c r="C5" s="6" t="s">
        <v>10</v>
      </c>
    </row>
    <row r="6" spans="1:3">
      <c r="A6" s="13" t="s">
        <v>11</v>
      </c>
      <c r="B6" s="13">
        <v>4</v>
      </c>
      <c r="C6" s="13" t="s">
        <v>12</v>
      </c>
    </row>
    <row r="7" spans="1:3">
      <c r="A7" s="13" t="s">
        <v>13</v>
      </c>
      <c r="B7" s="13">
        <v>5</v>
      </c>
      <c r="C7" s="13" t="s">
        <v>14</v>
      </c>
    </row>
    <row r="8" spans="1:3" ht="28">
      <c r="A8" s="18" t="s">
        <v>15</v>
      </c>
      <c r="B8" s="18">
        <v>11</v>
      </c>
      <c r="C8" s="18" t="s">
        <v>16</v>
      </c>
    </row>
    <row r="9" spans="1:3" ht="28">
      <c r="A9" s="12" t="s">
        <v>17</v>
      </c>
      <c r="B9" s="12">
        <v>7</v>
      </c>
      <c r="C9" s="6" t="s">
        <v>18</v>
      </c>
    </row>
    <row r="10" spans="1:3">
      <c r="A10" s="34" t="s">
        <v>19</v>
      </c>
      <c r="B10" s="34">
        <f>SUM(B2:B9)</f>
        <v>194</v>
      </c>
      <c r="C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2C04-1BE8-45C9-AF4E-99BD7FBD4D1E}">
  <sheetPr>
    <tabColor rgb="FF00B050"/>
  </sheetPr>
  <dimension ref="A1:N49"/>
  <sheetViews>
    <sheetView tabSelected="1" zoomScaleNormal="100" workbookViewId="0">
      <pane ySplit="1" topLeftCell="A2" activePane="bottomLeft" state="frozen"/>
      <selection pane="bottomLeft" activeCell="F7" sqref="F7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1" t="s">
        <v>28</v>
      </c>
      <c r="B2" s="20">
        <v>0.8</v>
      </c>
      <c r="C2" s="6">
        <f>$C$4*B2</f>
        <v>20</v>
      </c>
      <c r="D2" s="16" t="s">
        <v>29</v>
      </c>
      <c r="E2" s="16" t="s">
        <v>30</v>
      </c>
      <c r="F2" s="16" t="s">
        <v>31</v>
      </c>
      <c r="G2" s="5" t="s">
        <v>32</v>
      </c>
      <c r="H2" s="5" t="s">
        <v>33</v>
      </c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21" t="s">
        <v>35</v>
      </c>
      <c r="B3" s="20">
        <v>0.2</v>
      </c>
      <c r="C3" s="6">
        <f>$C$4*B3</f>
        <v>5</v>
      </c>
      <c r="D3" s="16" t="s">
        <v>29</v>
      </c>
      <c r="E3" s="16" t="s">
        <v>36</v>
      </c>
      <c r="F3" s="8" t="s">
        <v>37</v>
      </c>
      <c r="G3" s="14" t="s">
        <v>38</v>
      </c>
      <c r="H3" s="5"/>
      <c r="J3" s="6" t="s">
        <v>5</v>
      </c>
      <c r="K3" s="6">
        <v>29</v>
      </c>
      <c r="L3" s="6" t="s">
        <v>6</v>
      </c>
    </row>
    <row r="4" spans="1:14" ht="70.5" customHeight="1">
      <c r="A4" s="35" t="s">
        <v>19</v>
      </c>
      <c r="B4" s="37">
        <f>SUM(B2:B3)</f>
        <v>1</v>
      </c>
      <c r="C4" s="35">
        <v>25</v>
      </c>
      <c r="D4" s="35"/>
      <c r="E4" s="35"/>
      <c r="F4" s="36"/>
      <c r="G4" s="35"/>
      <c r="H4" s="35" t="s">
        <v>39</v>
      </c>
      <c r="J4" s="6" t="s">
        <v>7</v>
      </c>
      <c r="K4" s="6">
        <v>82</v>
      </c>
      <c r="L4" s="6" t="s">
        <v>40</v>
      </c>
    </row>
    <row r="5" spans="1:14" ht="54.75" customHeight="1">
      <c r="G5" s="2"/>
      <c r="H5" s="2"/>
      <c r="J5" s="6" t="s">
        <v>9</v>
      </c>
      <c r="K5" s="6">
        <v>31</v>
      </c>
      <c r="L5" s="6" t="s">
        <v>10</v>
      </c>
    </row>
    <row r="6" spans="1:14" ht="70.5" customHeight="1">
      <c r="G6" s="2"/>
      <c r="H6" s="2"/>
      <c r="J6" s="13" t="s">
        <v>11</v>
      </c>
      <c r="K6" s="13">
        <v>4</v>
      </c>
      <c r="L6" s="13" t="s">
        <v>12</v>
      </c>
    </row>
    <row r="7" spans="1:14" ht="72.75" customHeight="1">
      <c r="G7" s="2"/>
      <c r="H7" s="2"/>
      <c r="J7" s="13" t="s">
        <v>13</v>
      </c>
      <c r="K7" s="13">
        <v>5</v>
      </c>
      <c r="L7" s="13" t="s">
        <v>14</v>
      </c>
    </row>
    <row r="8" spans="1:14" ht="72.75" customHeight="1">
      <c r="G8" s="2"/>
      <c r="H8" s="2"/>
      <c r="J8" s="18" t="s">
        <v>15</v>
      </c>
      <c r="K8" s="18">
        <v>11</v>
      </c>
      <c r="L8" s="18" t="s">
        <v>16</v>
      </c>
    </row>
    <row r="9" spans="1:14" ht="75" customHeight="1">
      <c r="G9" s="2"/>
      <c r="H9" s="2"/>
      <c r="J9" s="12" t="s">
        <v>17</v>
      </c>
      <c r="K9" s="12">
        <v>7</v>
      </c>
      <c r="L9" s="6" t="s">
        <v>18</v>
      </c>
    </row>
    <row r="10" spans="1:14" ht="50" customHeight="1">
      <c r="G10" s="2"/>
      <c r="H10" s="2"/>
      <c r="J10" s="34" t="s">
        <v>19</v>
      </c>
      <c r="K10" s="34">
        <f>SUM(K2:K9)</f>
        <v>194</v>
      </c>
      <c r="L10" s="2"/>
      <c r="M10" s="32"/>
    </row>
    <row r="11" spans="1:14" ht="50" customHeight="1">
      <c r="G11" s="2"/>
      <c r="H11" s="2"/>
      <c r="J11" s="33"/>
      <c r="K11" s="33"/>
      <c r="L11" s="33"/>
      <c r="M11" s="32"/>
    </row>
    <row r="12" spans="1:14" ht="28.5" customHeight="1">
      <c r="G12" s="2"/>
      <c r="H12" s="2"/>
      <c r="J12" s="33"/>
      <c r="K12" s="33"/>
      <c r="L12" s="33"/>
      <c r="M12" s="32"/>
    </row>
    <row r="13" spans="1:14" ht="50" customHeight="1">
      <c r="G13" s="2"/>
      <c r="H13" s="2"/>
      <c r="K13" s="3"/>
      <c r="M13" s="32"/>
    </row>
    <row r="14" spans="1:14" ht="60.75" customHeight="1">
      <c r="G14" s="2"/>
      <c r="H14" s="2"/>
      <c r="K14" s="3"/>
    </row>
    <row r="15" spans="1:14">
      <c r="G15" s="2"/>
      <c r="H15" s="2"/>
      <c r="J15" s="33"/>
      <c r="K15" s="33"/>
      <c r="L15" s="33"/>
    </row>
    <row r="16" spans="1:14" ht="131.5" customHeight="1">
      <c r="G16" s="2"/>
      <c r="H16" s="2"/>
    </row>
    <row r="17" spans="7:8" ht="50" customHeight="1">
      <c r="G17" s="2"/>
      <c r="H17" s="2"/>
    </row>
    <row r="18" spans="7:8" ht="50" customHeight="1">
      <c r="G18" s="2"/>
      <c r="H18" s="2"/>
    </row>
    <row r="19" spans="7:8" ht="35.25" customHeight="1">
      <c r="G19" s="2"/>
      <c r="H19" s="2"/>
    </row>
    <row r="20" spans="7:8" ht="50" customHeight="1">
      <c r="G20" s="2"/>
      <c r="H20" s="2"/>
    </row>
    <row r="21" spans="7:8" ht="50" customHeight="1">
      <c r="G21" s="2"/>
      <c r="H21" s="2"/>
    </row>
    <row r="22" spans="7:8" ht="50" customHeight="1">
      <c r="G22" s="2"/>
      <c r="H22" s="2"/>
    </row>
    <row r="23" spans="7:8" ht="36.75" customHeight="1">
      <c r="G23" s="2"/>
      <c r="H23" s="2"/>
    </row>
    <row r="24" spans="7:8" ht="66.75" customHeight="1">
      <c r="G24" s="2"/>
      <c r="H24" s="2"/>
    </row>
    <row r="25" spans="7:8" ht="50" customHeight="1">
      <c r="G25" s="2"/>
      <c r="H25" s="2"/>
    </row>
    <row r="26" spans="7:8" ht="50" customHeight="1">
      <c r="G26" s="2"/>
      <c r="H26" s="2"/>
    </row>
    <row r="27" spans="7:8" ht="50" customHeight="1">
      <c r="G27" s="2"/>
      <c r="H27" s="2"/>
    </row>
    <row r="28" spans="7:8" ht="48" customHeight="1">
      <c r="G28" s="2"/>
      <c r="H28" s="2"/>
    </row>
    <row r="29" spans="7:8" ht="50" customHeight="1">
      <c r="G29" s="2"/>
      <c r="H29" s="2"/>
    </row>
    <row r="30" spans="7:8" ht="50" customHeight="1">
      <c r="G30" s="2"/>
      <c r="H30" s="2"/>
    </row>
    <row r="31" spans="7:8" ht="62.25" customHeight="1">
      <c r="G31" s="2"/>
      <c r="H31" s="2"/>
    </row>
    <row r="32" spans="7:8" ht="50" customHeight="1">
      <c r="G32" s="2"/>
      <c r="H32" s="2"/>
    </row>
    <row r="33" spans="7:8" ht="50" customHeight="1">
      <c r="G33" s="2"/>
      <c r="H33" s="2"/>
    </row>
    <row r="34" spans="7:8" ht="50.25" customHeight="1">
      <c r="G34" s="2"/>
      <c r="H34" s="2"/>
    </row>
    <row r="35" spans="7:8" ht="50" customHeight="1">
      <c r="G35" s="2"/>
      <c r="H35" s="2"/>
    </row>
    <row r="36" spans="7:8" ht="50" customHeight="1">
      <c r="G36" s="2"/>
      <c r="H36" s="2"/>
    </row>
    <row r="37" spans="7:8" ht="50" customHeight="1">
      <c r="G37" s="2"/>
      <c r="H37" s="2"/>
    </row>
    <row r="38" spans="7:8" ht="39" customHeight="1">
      <c r="G38" s="2"/>
      <c r="H38" s="2"/>
    </row>
    <row r="39" spans="7:8" ht="50" customHeight="1">
      <c r="G39" s="2"/>
      <c r="H39" s="2"/>
    </row>
    <row r="40" spans="7:8" ht="50" customHeight="1">
      <c r="G40" s="2"/>
      <c r="H40" s="2"/>
    </row>
    <row r="41" spans="7:8" ht="50" customHeight="1">
      <c r="G41" s="2"/>
      <c r="H41" s="2"/>
    </row>
    <row r="42" spans="7:8" ht="50" customHeight="1">
      <c r="G42" s="2"/>
      <c r="H42" s="2"/>
    </row>
    <row r="43" spans="7:8" ht="50" customHeight="1">
      <c r="G43" s="2"/>
      <c r="H43" s="2"/>
    </row>
    <row r="44" spans="7:8" ht="40.25" customHeight="1">
      <c r="G44" s="2"/>
      <c r="H44" s="2"/>
    </row>
    <row r="45" spans="7:8" ht="40.25" customHeight="1">
      <c r="G45" s="2"/>
      <c r="H45" s="2"/>
    </row>
    <row r="46" spans="7:8" ht="40.25" customHeight="1">
      <c r="G46" s="2"/>
      <c r="H46" s="2"/>
    </row>
    <row r="47" spans="7:8" ht="40.25" customHeight="1">
      <c r="G47" s="2"/>
      <c r="H47" s="2"/>
    </row>
    <row r="48" spans="7:8" ht="40.25" customHeight="1">
      <c r="G48" s="2"/>
      <c r="H48" s="2"/>
    </row>
    <row r="49" spans="7:8" ht="40.25" customHeight="1">
      <c r="G49" s="2"/>
      <c r="H49" s="2"/>
    </row>
  </sheetData>
  <autoFilter ref="A1:M1" xr:uid="{7A108514-8B29-4890-A5D5-C6B422268D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FD71-5FBE-184F-955E-467771B94732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D11" sqref="D11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41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13" t="s">
        <v>42</v>
      </c>
      <c r="B2" s="20">
        <v>0.4</v>
      </c>
      <c r="C2" s="6">
        <f>$C$5*B2</f>
        <v>11.600000000000001</v>
      </c>
      <c r="D2" s="16" t="s">
        <v>43</v>
      </c>
      <c r="E2" s="16" t="s">
        <v>36</v>
      </c>
      <c r="F2" s="7" t="s">
        <v>44</v>
      </c>
      <c r="G2" s="14" t="s">
        <v>45</v>
      </c>
      <c r="H2" s="10" t="s">
        <v>46</v>
      </c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13" t="s">
        <v>47</v>
      </c>
      <c r="B3" s="31">
        <v>0.2</v>
      </c>
      <c r="C3" s="6">
        <f>$C$5*B3</f>
        <v>5.8000000000000007</v>
      </c>
      <c r="D3" s="23" t="s">
        <v>48</v>
      </c>
      <c r="E3" s="23" t="s">
        <v>30</v>
      </c>
      <c r="F3" s="22" t="s">
        <v>49</v>
      </c>
      <c r="G3" s="5" t="s">
        <v>50</v>
      </c>
      <c r="H3" s="10" t="s">
        <v>51</v>
      </c>
      <c r="J3" s="6" t="s">
        <v>5</v>
      </c>
      <c r="K3" s="6">
        <v>29</v>
      </c>
      <c r="L3" s="6" t="s">
        <v>6</v>
      </c>
    </row>
    <row r="4" spans="1:14" ht="70.5" customHeight="1">
      <c r="A4" s="13" t="s">
        <v>52</v>
      </c>
      <c r="B4" s="20">
        <v>0.4</v>
      </c>
      <c r="C4" s="6">
        <f>$C$5*B4</f>
        <v>11.600000000000001</v>
      </c>
      <c r="D4" s="24" t="s">
        <v>53</v>
      </c>
      <c r="E4" s="16" t="s">
        <v>48</v>
      </c>
      <c r="F4" s="7" t="s">
        <v>54</v>
      </c>
      <c r="G4" s="5" t="s">
        <v>50</v>
      </c>
      <c r="H4" s="5" t="s">
        <v>55</v>
      </c>
      <c r="J4" s="6" t="s">
        <v>7</v>
      </c>
      <c r="K4" s="6">
        <v>82</v>
      </c>
      <c r="L4" s="6" t="s">
        <v>40</v>
      </c>
    </row>
    <row r="5" spans="1:14" ht="54.75" customHeight="1">
      <c r="A5" s="35" t="s">
        <v>19</v>
      </c>
      <c r="B5" s="37">
        <f>SUM(B2:B4)</f>
        <v>1</v>
      </c>
      <c r="C5" s="35">
        <v>29</v>
      </c>
      <c r="D5" s="35"/>
      <c r="E5" s="35"/>
      <c r="F5" s="35"/>
      <c r="G5" s="35"/>
      <c r="H5" s="35" t="s">
        <v>39</v>
      </c>
      <c r="J5" s="6" t="s">
        <v>9</v>
      </c>
      <c r="K5" s="6">
        <v>31</v>
      </c>
      <c r="L5" s="6" t="s">
        <v>10</v>
      </c>
    </row>
    <row r="6" spans="1:14" ht="70.5" customHeight="1">
      <c r="A6" s="33"/>
      <c r="B6" s="33"/>
      <c r="C6" s="33"/>
      <c r="D6" s="33"/>
      <c r="E6" s="33"/>
      <c r="F6" s="33"/>
      <c r="G6" s="33"/>
      <c r="H6" s="33"/>
      <c r="J6" s="13" t="s">
        <v>11</v>
      </c>
      <c r="K6" s="13">
        <v>4</v>
      </c>
      <c r="L6" s="13" t="s">
        <v>12</v>
      </c>
    </row>
    <row r="7" spans="1:14" ht="72.75" customHeight="1">
      <c r="A7" s="33"/>
      <c r="B7" s="33"/>
      <c r="C7" s="33"/>
      <c r="D7" s="33"/>
      <c r="E7" s="33"/>
      <c r="F7" s="33"/>
      <c r="G7" s="33"/>
      <c r="H7" s="33"/>
      <c r="J7" s="13" t="s">
        <v>13</v>
      </c>
      <c r="K7" s="13">
        <v>5</v>
      </c>
      <c r="L7" s="13" t="s">
        <v>14</v>
      </c>
    </row>
    <row r="8" spans="1:14" ht="72.75" customHeight="1">
      <c r="A8" s="33"/>
      <c r="B8" s="33"/>
      <c r="C8" s="33"/>
      <c r="D8" s="33"/>
      <c r="E8" s="33"/>
      <c r="F8" s="33"/>
      <c r="G8" s="33"/>
      <c r="H8" s="33"/>
      <c r="J8" s="18" t="s">
        <v>15</v>
      </c>
      <c r="K8" s="18">
        <v>11</v>
      </c>
      <c r="L8" s="18" t="s">
        <v>16</v>
      </c>
    </row>
    <row r="9" spans="1:14" ht="75" customHeight="1">
      <c r="A9" s="33"/>
      <c r="B9" s="33"/>
      <c r="C9" s="33"/>
      <c r="D9" s="33"/>
      <c r="E9" s="33"/>
      <c r="F9" s="33"/>
      <c r="G9" s="33"/>
      <c r="H9" s="33"/>
      <c r="J9" s="12" t="s">
        <v>17</v>
      </c>
      <c r="K9" s="12">
        <v>7</v>
      </c>
      <c r="L9" s="6" t="s">
        <v>18</v>
      </c>
    </row>
    <row r="10" spans="1:14" ht="50" customHeight="1">
      <c r="A10" s="33"/>
      <c r="B10" s="33"/>
      <c r="C10" s="33"/>
      <c r="D10" s="33"/>
      <c r="E10" s="33"/>
      <c r="F10" s="33"/>
      <c r="G10" s="33"/>
      <c r="H10" s="3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3"/>
      <c r="B11" s="33"/>
      <c r="C11" s="33"/>
      <c r="D11" s="33"/>
      <c r="E11" s="33"/>
      <c r="F11" s="33"/>
      <c r="G11" s="33"/>
      <c r="H11" s="33"/>
      <c r="J11" s="33"/>
      <c r="K11" s="33"/>
      <c r="L11" s="33"/>
      <c r="M11" s="32"/>
    </row>
    <row r="12" spans="1:14" ht="28.5" customHeight="1">
      <c r="A12" s="33"/>
      <c r="B12" s="33"/>
      <c r="C12" s="33"/>
      <c r="D12" s="33"/>
      <c r="E12" s="33"/>
      <c r="F12" s="33"/>
      <c r="G12" s="33"/>
      <c r="H12" s="33"/>
      <c r="J12" s="33"/>
      <c r="K12" s="33"/>
      <c r="L12" s="33"/>
      <c r="M12" s="32"/>
    </row>
    <row r="13" spans="1:14" ht="50" customHeight="1">
      <c r="A13" s="33"/>
      <c r="B13" s="33"/>
      <c r="C13" s="33"/>
      <c r="D13" s="33"/>
      <c r="E13" s="33"/>
      <c r="F13" s="33"/>
      <c r="G13" s="33"/>
      <c r="H13" s="33"/>
      <c r="K13" s="3"/>
      <c r="M13" s="32"/>
    </row>
    <row r="14" spans="1:14" ht="60.75" customHeight="1">
      <c r="A14" s="33"/>
      <c r="B14" s="33"/>
      <c r="C14" s="33"/>
      <c r="D14" s="33"/>
      <c r="E14" s="33"/>
      <c r="F14" s="33"/>
      <c r="G14" s="33"/>
      <c r="H14" s="33"/>
      <c r="K14" s="3"/>
    </row>
    <row r="15" spans="1:14">
      <c r="A15" s="33"/>
      <c r="B15" s="33"/>
      <c r="C15" s="33"/>
      <c r="D15" s="33"/>
      <c r="E15" s="33"/>
      <c r="F15" s="33"/>
      <c r="G15" s="33"/>
      <c r="H15" s="33"/>
      <c r="J15" s="33"/>
      <c r="K15" s="33"/>
      <c r="L15" s="33"/>
    </row>
    <row r="16" spans="1:14" ht="131.5" customHeight="1">
      <c r="A16" s="33"/>
      <c r="B16" s="33"/>
      <c r="C16" s="33"/>
      <c r="D16" s="33"/>
      <c r="E16" s="33"/>
      <c r="F16" s="33"/>
      <c r="G16" s="33"/>
      <c r="H16" s="33"/>
    </row>
    <row r="17" spans="1:8" ht="50" customHeight="1">
      <c r="A17" s="33"/>
      <c r="B17" s="33"/>
      <c r="C17" s="33"/>
      <c r="D17" s="33"/>
      <c r="E17" s="33"/>
      <c r="F17" s="33"/>
      <c r="G17" s="33"/>
      <c r="H17" s="33"/>
    </row>
    <row r="18" spans="1:8" ht="50" customHeight="1">
      <c r="A18" s="33"/>
      <c r="B18" s="33"/>
      <c r="C18" s="33"/>
      <c r="D18" s="33"/>
      <c r="E18" s="33"/>
      <c r="F18" s="33"/>
      <c r="G18" s="33"/>
      <c r="H18" s="33"/>
    </row>
    <row r="19" spans="1:8" ht="35.25" customHeight="1">
      <c r="A19" s="33"/>
      <c r="B19" s="33"/>
      <c r="C19" s="33"/>
      <c r="D19" s="33"/>
      <c r="E19" s="33"/>
      <c r="F19" s="33"/>
      <c r="G19" s="33"/>
      <c r="H19" s="33"/>
    </row>
    <row r="20" spans="1:8" ht="50" customHeight="1">
      <c r="A20" s="33"/>
      <c r="B20" s="33"/>
      <c r="C20" s="33"/>
      <c r="D20" s="33"/>
      <c r="E20" s="33"/>
      <c r="F20" s="33"/>
      <c r="G20" s="33"/>
      <c r="H20" s="33"/>
    </row>
    <row r="21" spans="1:8" ht="50" customHeight="1">
      <c r="A21" s="33"/>
      <c r="B21" s="33"/>
      <c r="C21" s="33"/>
      <c r="D21" s="33"/>
      <c r="E21" s="33"/>
      <c r="F21" s="33"/>
      <c r="G21" s="33"/>
      <c r="H21" s="33"/>
    </row>
    <row r="22" spans="1:8" ht="50" customHeight="1">
      <c r="A22" s="33"/>
      <c r="B22" s="33"/>
      <c r="C22" s="33"/>
      <c r="D22" s="33"/>
      <c r="E22" s="33"/>
      <c r="F22" s="33"/>
      <c r="G22" s="33"/>
      <c r="H22" s="33"/>
    </row>
    <row r="23" spans="1:8" ht="36.75" customHeight="1">
      <c r="A23" s="33"/>
      <c r="B23" s="33"/>
      <c r="C23" s="33"/>
      <c r="D23" s="33"/>
      <c r="E23" s="33"/>
      <c r="F23" s="33"/>
      <c r="G23" s="33"/>
      <c r="H23" s="33"/>
    </row>
    <row r="24" spans="1:8" ht="66.75" customHeight="1">
      <c r="A24" s="33"/>
      <c r="B24" s="33"/>
      <c r="C24" s="33"/>
      <c r="D24" s="33"/>
      <c r="E24" s="33"/>
      <c r="F24" s="33"/>
      <c r="G24" s="33"/>
      <c r="H24" s="33"/>
    </row>
    <row r="25" spans="1:8" ht="50" customHeight="1">
      <c r="A25" s="33"/>
      <c r="B25" s="33"/>
      <c r="C25" s="33"/>
      <c r="D25" s="33"/>
      <c r="E25" s="33"/>
      <c r="F25" s="33"/>
      <c r="G25" s="33"/>
      <c r="H25" s="33"/>
    </row>
    <row r="26" spans="1:8" ht="50" customHeight="1">
      <c r="A26" s="33"/>
      <c r="B26" s="33"/>
      <c r="C26" s="33"/>
      <c r="D26" s="33"/>
      <c r="E26" s="33"/>
      <c r="F26" s="33"/>
      <c r="G26" s="33"/>
      <c r="H26" s="33"/>
    </row>
    <row r="27" spans="1:8" ht="50" customHeight="1">
      <c r="A27" s="33"/>
      <c r="B27" s="33"/>
      <c r="C27" s="33"/>
      <c r="D27" s="33"/>
      <c r="E27" s="33"/>
      <c r="F27" s="33"/>
      <c r="G27" s="33"/>
      <c r="H27" s="33"/>
    </row>
    <row r="28" spans="1:8" ht="48" customHeight="1">
      <c r="A28" s="33"/>
      <c r="B28" s="33"/>
      <c r="C28" s="33"/>
      <c r="D28" s="33"/>
      <c r="E28" s="33"/>
      <c r="F28" s="33"/>
      <c r="G28" s="33"/>
      <c r="H28" s="33"/>
    </row>
    <row r="29" spans="1:8" ht="50" customHeight="1">
      <c r="A29" s="33"/>
      <c r="B29" s="33"/>
      <c r="C29" s="33"/>
      <c r="D29" s="33"/>
      <c r="E29" s="33"/>
      <c r="F29" s="33"/>
      <c r="G29" s="33"/>
      <c r="H29" s="33"/>
    </row>
    <row r="30" spans="1:8" ht="50" customHeight="1">
      <c r="A30" s="33"/>
      <c r="B30" s="33"/>
      <c r="C30" s="33"/>
      <c r="D30" s="33"/>
      <c r="E30" s="33"/>
      <c r="F30" s="33"/>
      <c r="G30" s="33"/>
      <c r="H30" s="33"/>
    </row>
    <row r="31" spans="1:8" ht="62.25" customHeight="1">
      <c r="A31" s="33"/>
      <c r="B31" s="33"/>
      <c r="C31" s="33"/>
      <c r="D31" s="33"/>
      <c r="E31" s="33"/>
      <c r="F31" s="33"/>
      <c r="G31" s="33"/>
      <c r="H31" s="33"/>
    </row>
    <row r="32" spans="1:8" ht="50" customHeight="1">
      <c r="A32" s="33"/>
      <c r="B32" s="33"/>
      <c r="C32" s="33"/>
      <c r="D32" s="33"/>
      <c r="E32" s="33"/>
      <c r="F32" s="33"/>
      <c r="G32" s="33"/>
      <c r="H32" s="33"/>
    </row>
    <row r="33" spans="1:8" ht="50" customHeight="1">
      <c r="A33" s="33"/>
      <c r="B33" s="33"/>
      <c r="C33" s="33"/>
      <c r="D33" s="33"/>
      <c r="E33" s="33"/>
      <c r="F33" s="33"/>
      <c r="G33" s="33"/>
      <c r="H33" s="33"/>
    </row>
    <row r="34" spans="1:8" ht="50.25" customHeight="1">
      <c r="A34" s="33"/>
      <c r="B34" s="33"/>
      <c r="C34" s="33"/>
      <c r="D34" s="33"/>
      <c r="E34" s="33"/>
      <c r="F34" s="33"/>
      <c r="G34" s="33"/>
      <c r="H34" s="33"/>
    </row>
    <row r="35" spans="1:8" ht="50" customHeight="1">
      <c r="A35" s="33"/>
      <c r="B35" s="33"/>
      <c r="C35" s="33"/>
      <c r="D35" s="33"/>
      <c r="E35" s="33"/>
      <c r="F35" s="33"/>
      <c r="G35" s="33"/>
      <c r="H35" s="33"/>
    </row>
    <row r="36" spans="1:8" ht="50" customHeight="1">
      <c r="A36" s="33"/>
      <c r="B36" s="33"/>
      <c r="C36" s="33"/>
      <c r="D36" s="33"/>
      <c r="E36" s="33"/>
      <c r="F36" s="33"/>
      <c r="G36" s="33"/>
      <c r="H36" s="33"/>
    </row>
    <row r="37" spans="1:8" ht="50" customHeight="1">
      <c r="A37" s="33"/>
      <c r="B37" s="33"/>
      <c r="C37" s="33"/>
      <c r="D37" s="33"/>
      <c r="E37" s="33"/>
      <c r="F37" s="33"/>
      <c r="G37" s="33"/>
      <c r="H37" s="33"/>
    </row>
    <row r="38" spans="1:8" ht="39" customHeight="1">
      <c r="A38" s="33"/>
      <c r="B38" s="33"/>
      <c r="C38" s="33"/>
      <c r="D38" s="33"/>
      <c r="E38" s="33"/>
      <c r="F38" s="33"/>
      <c r="G38" s="33"/>
      <c r="H38" s="33"/>
    </row>
    <row r="39" spans="1:8" ht="50" customHeight="1">
      <c r="A39" s="33"/>
      <c r="B39" s="33"/>
      <c r="C39" s="33"/>
      <c r="D39" s="33"/>
      <c r="E39" s="33"/>
      <c r="F39" s="33"/>
      <c r="G39" s="33"/>
      <c r="H39" s="33"/>
    </row>
    <row r="40" spans="1:8" ht="50" customHeight="1">
      <c r="A40" s="33"/>
      <c r="B40" s="33"/>
      <c r="C40" s="33"/>
      <c r="D40" s="33"/>
      <c r="E40" s="33"/>
      <c r="F40" s="33"/>
      <c r="G40" s="33"/>
      <c r="H40" s="33"/>
    </row>
    <row r="41" spans="1:8" ht="50" customHeight="1">
      <c r="A41" s="33"/>
      <c r="B41" s="33"/>
      <c r="C41" s="33"/>
      <c r="D41" s="33"/>
      <c r="E41" s="33"/>
      <c r="F41" s="33"/>
      <c r="G41" s="33"/>
      <c r="H41" s="33"/>
    </row>
    <row r="42" spans="1:8" ht="50" customHeight="1">
      <c r="A42" s="33"/>
      <c r="B42" s="33"/>
      <c r="C42" s="33"/>
      <c r="D42" s="33"/>
      <c r="E42" s="33"/>
      <c r="F42" s="33"/>
      <c r="G42" s="33"/>
      <c r="H42" s="33"/>
    </row>
    <row r="43" spans="1:8" ht="50" customHeight="1">
      <c r="A43" s="33"/>
      <c r="B43" s="33"/>
      <c r="C43" s="33"/>
      <c r="D43" s="33"/>
      <c r="E43" s="33"/>
      <c r="F43" s="33"/>
      <c r="G43" s="33"/>
      <c r="H43" s="33"/>
    </row>
    <row r="44" spans="1:8" ht="40.25" customHeight="1">
      <c r="A44" s="33"/>
      <c r="B44" s="33"/>
      <c r="C44" s="33"/>
      <c r="D44" s="33"/>
      <c r="E44" s="33"/>
      <c r="F44" s="33"/>
      <c r="G44" s="33"/>
      <c r="H44" s="33"/>
    </row>
    <row r="45" spans="1:8" ht="40.25" customHeight="1">
      <c r="A45" s="33"/>
      <c r="B45" s="33"/>
      <c r="C45" s="33"/>
      <c r="D45" s="33"/>
      <c r="E45" s="33"/>
      <c r="F45" s="33"/>
      <c r="G45" s="33"/>
      <c r="H45" s="33"/>
    </row>
    <row r="46" spans="1:8" ht="40.25" customHeight="1">
      <c r="A46" s="33"/>
      <c r="B46" s="33"/>
      <c r="C46" s="33"/>
      <c r="D46" s="33"/>
      <c r="E46" s="33"/>
      <c r="F46" s="33"/>
      <c r="G46" s="33"/>
      <c r="H46" s="33"/>
    </row>
    <row r="47" spans="1:8" ht="40.25" customHeight="1">
      <c r="A47" s="33"/>
      <c r="B47" s="33"/>
      <c r="C47" s="33"/>
      <c r="D47" s="33"/>
      <c r="E47" s="33"/>
      <c r="F47" s="33"/>
      <c r="G47" s="33"/>
      <c r="H47" s="33"/>
    </row>
    <row r="48" spans="1:8" ht="40.25" customHeight="1">
      <c r="A48" s="33"/>
      <c r="B48" s="33"/>
      <c r="C48" s="33"/>
      <c r="D48" s="33"/>
      <c r="E48" s="33"/>
      <c r="F48" s="33"/>
      <c r="G48" s="33"/>
      <c r="H48" s="33"/>
    </row>
    <row r="49" spans="1:8" ht="40.25" customHeight="1">
      <c r="A49" s="33"/>
      <c r="B49" s="33"/>
      <c r="C49" s="33"/>
      <c r="D49" s="33"/>
      <c r="E49" s="33"/>
      <c r="F49" s="33"/>
      <c r="G49" s="33"/>
      <c r="H49" s="33"/>
    </row>
  </sheetData>
  <autoFilter ref="A1:M1" xr:uid="{7A108514-8B29-4890-A5D5-C6B422268D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7F9F-A34F-F54B-85E4-91E238995C27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G9" sqref="G9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56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5" t="s">
        <v>57</v>
      </c>
      <c r="B2" s="19">
        <v>0.45</v>
      </c>
      <c r="C2" s="6">
        <f>$C$6*B2</f>
        <v>36.9</v>
      </c>
      <c r="D2" s="26" t="s">
        <v>48</v>
      </c>
      <c r="E2" s="27" t="s">
        <v>36</v>
      </c>
      <c r="F2" s="25" t="s">
        <v>58</v>
      </c>
      <c r="G2" s="14" t="s">
        <v>59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21" t="s">
        <v>60</v>
      </c>
      <c r="B3" s="20">
        <v>0.5</v>
      </c>
      <c r="C3" s="6">
        <f>$C$6*B3</f>
        <v>41</v>
      </c>
      <c r="D3" s="16" t="s">
        <v>48</v>
      </c>
      <c r="E3" s="16" t="s">
        <v>30</v>
      </c>
      <c r="F3" s="21" t="s">
        <v>61</v>
      </c>
      <c r="G3" s="5" t="s">
        <v>50</v>
      </c>
      <c r="H3" s="5"/>
      <c r="J3" s="6" t="s">
        <v>5</v>
      </c>
      <c r="K3" s="6">
        <v>29</v>
      </c>
      <c r="L3" s="6" t="s">
        <v>6</v>
      </c>
    </row>
    <row r="4" spans="1:14" ht="70.5" customHeight="1">
      <c r="A4" s="21" t="s">
        <v>62</v>
      </c>
      <c r="B4" s="20">
        <v>0.05</v>
      </c>
      <c r="C4" s="6">
        <f>$C$6*B4</f>
        <v>4.1000000000000005</v>
      </c>
      <c r="D4" s="16" t="s">
        <v>53</v>
      </c>
      <c r="E4" s="16" t="s">
        <v>48</v>
      </c>
      <c r="F4" s="21" t="s">
        <v>63</v>
      </c>
      <c r="G4" s="5" t="s">
        <v>64</v>
      </c>
      <c r="H4" s="5" t="s">
        <v>65</v>
      </c>
      <c r="J4" s="6" t="s">
        <v>7</v>
      </c>
      <c r="K4" s="6">
        <v>82</v>
      </c>
      <c r="L4" s="6" t="s">
        <v>40</v>
      </c>
    </row>
    <row r="5" spans="1:14" ht="54.75" customHeight="1">
      <c r="A5" s="28" t="s">
        <v>66</v>
      </c>
      <c r="B5" s="30">
        <v>0</v>
      </c>
      <c r="C5" s="6">
        <f>$C$6*B5</f>
        <v>0</v>
      </c>
      <c r="D5" s="24" t="s">
        <v>67</v>
      </c>
      <c r="E5" s="16" t="s">
        <v>48</v>
      </c>
      <c r="F5" s="15" t="s">
        <v>68</v>
      </c>
      <c r="G5" s="8" t="s">
        <v>69</v>
      </c>
      <c r="H5" s="5" t="s">
        <v>70</v>
      </c>
      <c r="J5" s="6" t="s">
        <v>9</v>
      </c>
      <c r="K5" s="6">
        <v>31</v>
      </c>
      <c r="L5" s="6" t="s">
        <v>10</v>
      </c>
    </row>
    <row r="6" spans="1:14" ht="70.5" customHeight="1">
      <c r="A6" s="35" t="s">
        <v>19</v>
      </c>
      <c r="B6" s="37">
        <f>SUM(B2:B5)</f>
        <v>1</v>
      </c>
      <c r="C6" s="35">
        <v>82</v>
      </c>
      <c r="D6" s="35"/>
      <c r="E6" s="35"/>
      <c r="F6" s="36"/>
      <c r="G6" s="35"/>
      <c r="H6" s="35" t="s">
        <v>39</v>
      </c>
      <c r="J6" s="13" t="s">
        <v>11</v>
      </c>
      <c r="K6" s="13">
        <v>4</v>
      </c>
      <c r="L6" s="13" t="s">
        <v>12</v>
      </c>
    </row>
    <row r="7" spans="1:14" ht="72.75" customHeight="1">
      <c r="A7" s="3"/>
      <c r="B7" s="3"/>
      <c r="C7" s="3"/>
      <c r="D7" s="3"/>
      <c r="E7" s="3"/>
      <c r="F7" s="3"/>
      <c r="J7" s="13" t="s">
        <v>13</v>
      </c>
      <c r="K7" s="13">
        <v>5</v>
      </c>
      <c r="L7" s="13" t="s">
        <v>14</v>
      </c>
    </row>
    <row r="8" spans="1:14" ht="72.75" customHeight="1">
      <c r="A8" s="3"/>
      <c r="B8" s="3"/>
      <c r="C8" s="3"/>
      <c r="D8" s="3"/>
      <c r="E8" s="3"/>
      <c r="F8" s="3"/>
      <c r="J8" s="18" t="s">
        <v>15</v>
      </c>
      <c r="K8" s="18">
        <v>11</v>
      </c>
      <c r="L8" s="18" t="s">
        <v>16</v>
      </c>
    </row>
    <row r="9" spans="1:14" ht="75" customHeight="1">
      <c r="A9" s="3"/>
      <c r="B9" s="3"/>
      <c r="C9" s="3"/>
      <c r="D9" s="3"/>
      <c r="E9" s="3"/>
      <c r="F9" s="3"/>
      <c r="J9" s="12" t="s">
        <v>17</v>
      </c>
      <c r="K9" s="12">
        <v>7</v>
      </c>
      <c r="L9" s="6" t="s">
        <v>18</v>
      </c>
    </row>
    <row r="10" spans="1:14" ht="50" customHeight="1">
      <c r="A10" s="3"/>
      <c r="B10" s="3"/>
      <c r="C10" s="3"/>
      <c r="D10" s="3"/>
      <c r="E10" s="3"/>
      <c r="F10" s="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"/>
      <c r="B11" s="3"/>
      <c r="C11" s="3"/>
      <c r="D11" s="3"/>
      <c r="E11" s="3"/>
      <c r="F11" s="3"/>
      <c r="J11" s="33"/>
      <c r="K11" s="33"/>
      <c r="L11" s="33"/>
      <c r="M11" s="32"/>
    </row>
    <row r="12" spans="1:14" ht="28.5" customHeight="1">
      <c r="A12" s="3"/>
      <c r="B12" s="3"/>
      <c r="C12" s="3"/>
      <c r="D12" s="3"/>
      <c r="E12" s="3"/>
      <c r="F12" s="3"/>
      <c r="J12" s="33"/>
      <c r="K12" s="33"/>
      <c r="L12" s="33"/>
      <c r="M12" s="32"/>
    </row>
    <row r="13" spans="1:14" ht="50" customHeight="1">
      <c r="A13" s="3"/>
      <c r="B13" s="3"/>
      <c r="C13" s="3"/>
      <c r="D13" s="3"/>
      <c r="E13" s="3"/>
      <c r="F13" s="3"/>
      <c r="K13" s="3"/>
      <c r="M13" s="32"/>
    </row>
    <row r="14" spans="1:14" ht="60.75" customHeight="1">
      <c r="A14" s="3"/>
      <c r="B14" s="3"/>
      <c r="C14" s="3"/>
      <c r="D14" s="3"/>
      <c r="E14" s="3"/>
      <c r="F14" s="3"/>
      <c r="K14" s="3"/>
    </row>
    <row r="15" spans="1:14">
      <c r="A15" s="3"/>
      <c r="B15" s="3"/>
      <c r="C15" s="3"/>
      <c r="D15" s="3"/>
      <c r="E15" s="3"/>
      <c r="F15" s="3"/>
      <c r="J15" s="33"/>
      <c r="K15" s="33"/>
      <c r="L15" s="33"/>
    </row>
    <row r="16" spans="1:14" ht="131.5" customHeight="1">
      <c r="A16" s="3"/>
      <c r="B16" s="3"/>
      <c r="C16" s="3"/>
      <c r="D16" s="3"/>
      <c r="E16" s="3"/>
      <c r="F16" s="3"/>
    </row>
    <row r="17" spans="1:6" ht="50" customHeight="1">
      <c r="A17" s="3"/>
      <c r="B17" s="3"/>
      <c r="C17" s="3"/>
      <c r="D17" s="3"/>
      <c r="E17" s="3"/>
      <c r="F17" s="3"/>
    </row>
    <row r="18" spans="1:6" ht="50" customHeight="1">
      <c r="A18" s="3"/>
      <c r="B18" s="3"/>
      <c r="C18" s="3"/>
      <c r="D18" s="3"/>
      <c r="E18" s="3"/>
      <c r="F18" s="3"/>
    </row>
    <row r="19" spans="1:6" ht="35.25" customHeight="1">
      <c r="A19" s="3"/>
      <c r="B19" s="3"/>
      <c r="C19" s="3"/>
      <c r="D19" s="3"/>
      <c r="E19" s="3"/>
      <c r="F19" s="3"/>
    </row>
    <row r="20" spans="1:6" ht="50" customHeight="1">
      <c r="A20" s="3"/>
      <c r="B20" s="3"/>
      <c r="C20" s="3"/>
      <c r="D20" s="3"/>
      <c r="E20" s="3"/>
      <c r="F20" s="3"/>
    </row>
    <row r="21" spans="1:6" ht="50" customHeight="1">
      <c r="A21" s="3"/>
      <c r="B21" s="3"/>
      <c r="C21" s="3"/>
      <c r="D21" s="3"/>
      <c r="E21" s="3"/>
      <c r="F21" s="3"/>
    </row>
    <row r="22" spans="1:6" ht="50" customHeight="1">
      <c r="A22" s="3"/>
      <c r="B22" s="3"/>
      <c r="C22" s="3"/>
      <c r="D22" s="3"/>
      <c r="E22" s="3"/>
      <c r="F22" s="3"/>
    </row>
    <row r="23" spans="1:6" ht="36.75" customHeight="1">
      <c r="A23" s="3"/>
      <c r="B23" s="3"/>
      <c r="C23" s="3"/>
      <c r="D23" s="3"/>
      <c r="E23" s="3"/>
      <c r="F23" s="3"/>
    </row>
    <row r="24" spans="1:6" ht="66.75" customHeight="1">
      <c r="A24" s="3"/>
      <c r="B24" s="3"/>
      <c r="C24" s="3"/>
      <c r="D24" s="3"/>
      <c r="E24" s="3"/>
      <c r="F24" s="3"/>
    </row>
    <row r="25" spans="1:6" ht="50" customHeight="1">
      <c r="A25" s="3"/>
      <c r="B25" s="3"/>
      <c r="C25" s="3"/>
      <c r="D25" s="3"/>
      <c r="E25" s="3"/>
      <c r="F25" s="3"/>
    </row>
    <row r="26" spans="1:6" ht="50" customHeight="1">
      <c r="A26" s="3"/>
      <c r="B26" s="3"/>
      <c r="C26" s="3"/>
      <c r="D26" s="3"/>
      <c r="E26" s="3"/>
      <c r="F26" s="3"/>
    </row>
    <row r="27" spans="1:6" ht="50" customHeight="1">
      <c r="A27" s="3"/>
      <c r="B27" s="3"/>
      <c r="C27" s="3"/>
      <c r="D27" s="3"/>
      <c r="E27" s="3"/>
      <c r="F27" s="3"/>
    </row>
    <row r="28" spans="1:6" ht="48" customHeight="1">
      <c r="A28" s="3"/>
      <c r="B28" s="3"/>
      <c r="C28" s="3"/>
      <c r="D28" s="3"/>
      <c r="E28" s="3"/>
      <c r="F28" s="3"/>
    </row>
    <row r="29" spans="1:6" ht="50" customHeight="1">
      <c r="A29" s="3"/>
      <c r="B29" s="3"/>
      <c r="C29" s="3"/>
      <c r="D29" s="3"/>
      <c r="E29" s="3"/>
      <c r="F29" s="3"/>
    </row>
    <row r="30" spans="1:6" ht="50" customHeight="1">
      <c r="A30" s="3"/>
      <c r="B30" s="3"/>
      <c r="C30" s="3"/>
      <c r="D30" s="3"/>
      <c r="E30" s="3"/>
      <c r="F30" s="3"/>
    </row>
    <row r="31" spans="1:6" ht="62.25" customHeight="1">
      <c r="A31" s="3"/>
      <c r="B31" s="3"/>
      <c r="C31" s="3"/>
      <c r="D31" s="3"/>
      <c r="E31" s="3"/>
      <c r="F31" s="3"/>
    </row>
    <row r="32" spans="1:6" ht="50" customHeight="1">
      <c r="A32" s="3"/>
      <c r="B32" s="3"/>
      <c r="C32" s="3"/>
      <c r="D32" s="3"/>
      <c r="E32" s="3"/>
      <c r="F32" s="3"/>
    </row>
    <row r="33" spans="1:6" ht="50" customHeight="1">
      <c r="A33" s="3"/>
      <c r="B33" s="3"/>
      <c r="C33" s="3"/>
      <c r="D33" s="3"/>
      <c r="E33" s="3"/>
      <c r="F33" s="3"/>
    </row>
    <row r="34" spans="1:6" ht="50.25" customHeight="1">
      <c r="A34" s="3"/>
      <c r="B34" s="3"/>
      <c r="C34" s="3"/>
      <c r="D34" s="3"/>
      <c r="E34" s="3"/>
      <c r="F34" s="3"/>
    </row>
    <row r="35" spans="1:6" ht="50" customHeight="1">
      <c r="A35" s="3"/>
      <c r="B35" s="3"/>
      <c r="C35" s="3"/>
      <c r="D35" s="3"/>
      <c r="E35" s="3"/>
      <c r="F35" s="3"/>
    </row>
    <row r="36" spans="1:6" ht="50" customHeight="1">
      <c r="A36" s="3"/>
      <c r="B36" s="3"/>
      <c r="C36" s="3"/>
      <c r="D36" s="3"/>
      <c r="E36" s="3"/>
      <c r="F36" s="3"/>
    </row>
    <row r="37" spans="1:6" ht="50" customHeight="1">
      <c r="A37" s="3"/>
      <c r="B37" s="3"/>
      <c r="C37" s="3"/>
      <c r="D37" s="3"/>
      <c r="E37" s="3"/>
      <c r="F37" s="3"/>
    </row>
    <row r="38" spans="1:6" ht="39" customHeight="1">
      <c r="A38" s="3"/>
      <c r="B38" s="3"/>
      <c r="C38" s="3"/>
      <c r="D38" s="3"/>
      <c r="E38" s="3"/>
      <c r="F38" s="3"/>
    </row>
    <row r="39" spans="1:6" ht="50" customHeight="1">
      <c r="A39" s="3"/>
      <c r="B39" s="3"/>
      <c r="C39" s="3"/>
      <c r="D39" s="3"/>
      <c r="E39" s="3"/>
      <c r="F39" s="3"/>
    </row>
    <row r="40" spans="1:6" ht="50" customHeight="1">
      <c r="A40" s="3"/>
      <c r="B40" s="3"/>
      <c r="C40" s="3"/>
      <c r="D40" s="3"/>
      <c r="E40" s="3"/>
      <c r="F40" s="3"/>
    </row>
    <row r="41" spans="1:6" ht="50" customHeight="1">
      <c r="A41" s="3"/>
      <c r="B41" s="3"/>
      <c r="C41" s="3"/>
      <c r="D41" s="3"/>
      <c r="E41" s="3"/>
      <c r="F41" s="3"/>
    </row>
    <row r="42" spans="1:6" ht="50" customHeight="1">
      <c r="A42" s="3"/>
      <c r="B42" s="3"/>
      <c r="C42" s="3"/>
      <c r="D42" s="3"/>
      <c r="E42" s="3"/>
      <c r="F42" s="3"/>
    </row>
    <row r="43" spans="1:6" ht="50" customHeight="1">
      <c r="A43" s="3"/>
      <c r="B43" s="3"/>
      <c r="C43" s="3"/>
      <c r="D43" s="3"/>
      <c r="E43" s="3"/>
      <c r="F43" s="3"/>
    </row>
    <row r="44" spans="1:6" ht="40.25" customHeight="1">
      <c r="A44" s="3"/>
      <c r="B44" s="3"/>
      <c r="C44" s="3"/>
      <c r="D44" s="3"/>
      <c r="E44" s="3"/>
      <c r="F44" s="3"/>
    </row>
    <row r="45" spans="1:6" ht="40.25" customHeight="1"/>
    <row r="46" spans="1:6" ht="40.25" customHeight="1"/>
    <row r="47" spans="1:6" ht="40.25" customHeight="1"/>
    <row r="48" spans="1:6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99BC-1061-9A45-AD4F-AF8F238C74A6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F10" sqref="F10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75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1" t="s">
        <v>76</v>
      </c>
      <c r="B2" s="20">
        <v>0.75</v>
      </c>
      <c r="C2" s="6">
        <f>$C$4*B2</f>
        <v>3</v>
      </c>
      <c r="D2" s="16" t="s">
        <v>48</v>
      </c>
      <c r="E2" s="16" t="s">
        <v>36</v>
      </c>
      <c r="F2" s="8" t="s">
        <v>77</v>
      </c>
      <c r="G2" s="7" t="s">
        <v>78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21" t="s">
        <v>79</v>
      </c>
      <c r="B3" s="20">
        <v>0.25</v>
      </c>
      <c r="C3" s="6">
        <f>$C$4*B3</f>
        <v>1</v>
      </c>
      <c r="D3" s="16" t="s">
        <v>48</v>
      </c>
      <c r="E3" s="7" t="s">
        <v>30</v>
      </c>
      <c r="F3" s="29" t="s">
        <v>80</v>
      </c>
      <c r="G3" s="7" t="s">
        <v>81</v>
      </c>
      <c r="H3" s="5"/>
      <c r="J3" s="6" t="s">
        <v>5</v>
      </c>
      <c r="K3" s="6">
        <v>29</v>
      </c>
      <c r="L3" s="6" t="s">
        <v>6</v>
      </c>
    </row>
    <row r="4" spans="1:14" ht="70.5" customHeight="1">
      <c r="A4" s="35" t="s">
        <v>19</v>
      </c>
      <c r="B4" s="37">
        <f>SUM(B2:B3)</f>
        <v>1</v>
      </c>
      <c r="C4" s="35">
        <v>4</v>
      </c>
      <c r="D4" s="35"/>
      <c r="E4" s="35"/>
      <c r="F4" s="35"/>
      <c r="G4" s="35"/>
      <c r="H4" s="35" t="s">
        <v>39</v>
      </c>
      <c r="J4" s="6" t="s">
        <v>7</v>
      </c>
      <c r="K4" s="6">
        <v>82</v>
      </c>
      <c r="L4" s="6" t="s">
        <v>40</v>
      </c>
    </row>
    <row r="5" spans="1:14" ht="54.75" customHeight="1">
      <c r="A5" s="3"/>
      <c r="B5" s="3"/>
      <c r="C5" s="3"/>
      <c r="D5" s="3"/>
      <c r="E5" s="3"/>
      <c r="F5" s="3"/>
      <c r="J5" s="6" t="s">
        <v>9</v>
      </c>
      <c r="K5" s="6">
        <v>31</v>
      </c>
      <c r="L5" s="6" t="s">
        <v>10</v>
      </c>
    </row>
    <row r="6" spans="1:14" ht="70.5" customHeight="1">
      <c r="A6" s="3"/>
      <c r="B6" s="3"/>
      <c r="C6" s="3"/>
      <c r="D6" s="3"/>
      <c r="E6" s="3"/>
      <c r="F6" s="3"/>
      <c r="J6" s="13" t="s">
        <v>11</v>
      </c>
      <c r="K6" s="13">
        <v>4</v>
      </c>
      <c r="L6" s="13" t="s">
        <v>12</v>
      </c>
    </row>
    <row r="7" spans="1:14" ht="72.75" customHeight="1">
      <c r="A7" s="3"/>
      <c r="B7" s="3"/>
      <c r="C7" s="3"/>
      <c r="D7" s="3"/>
      <c r="E7" s="3"/>
      <c r="F7" s="3"/>
      <c r="J7" s="13" t="s">
        <v>13</v>
      </c>
      <c r="K7" s="13">
        <v>5</v>
      </c>
      <c r="L7" s="13" t="s">
        <v>14</v>
      </c>
    </row>
    <row r="8" spans="1:14" ht="72.75" customHeight="1">
      <c r="A8" s="3"/>
      <c r="B8" s="3"/>
      <c r="C8" s="3"/>
      <c r="D8" s="3"/>
      <c r="E8" s="3"/>
      <c r="F8" s="3"/>
      <c r="J8" s="18" t="s">
        <v>15</v>
      </c>
      <c r="K8" s="18">
        <v>11</v>
      </c>
      <c r="L8" s="18" t="s">
        <v>16</v>
      </c>
    </row>
    <row r="9" spans="1:14" ht="75" customHeight="1">
      <c r="A9" s="3"/>
      <c r="B9" s="3"/>
      <c r="C9" s="3"/>
      <c r="D9" s="3"/>
      <c r="E9" s="3"/>
      <c r="F9" s="3"/>
      <c r="J9" s="12" t="s">
        <v>17</v>
      </c>
      <c r="K9" s="12">
        <v>7</v>
      </c>
      <c r="L9" s="6" t="s">
        <v>18</v>
      </c>
    </row>
    <row r="10" spans="1:14" ht="50" customHeight="1">
      <c r="A10" s="3"/>
      <c r="B10" s="3"/>
      <c r="C10" s="3"/>
      <c r="D10" s="3"/>
      <c r="E10" s="3"/>
      <c r="F10" s="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"/>
      <c r="B11" s="3"/>
      <c r="C11" s="3"/>
      <c r="D11" s="3"/>
      <c r="E11" s="3"/>
      <c r="F11" s="3"/>
      <c r="J11" s="33"/>
      <c r="K11" s="33"/>
      <c r="L11" s="33"/>
      <c r="M11" s="32"/>
    </row>
    <row r="12" spans="1:14" ht="28.5" customHeight="1">
      <c r="A12" s="3"/>
      <c r="B12" s="3"/>
      <c r="C12" s="3"/>
      <c r="D12" s="3"/>
      <c r="E12" s="3"/>
      <c r="F12" s="3"/>
      <c r="J12" s="33"/>
      <c r="K12" s="33"/>
      <c r="L12" s="33"/>
      <c r="M12" s="32"/>
    </row>
    <row r="13" spans="1:14" ht="50" customHeight="1">
      <c r="A13" s="3"/>
      <c r="B13" s="3"/>
      <c r="C13" s="3"/>
      <c r="D13" s="3"/>
      <c r="E13" s="3"/>
      <c r="F13" s="3"/>
      <c r="K13" s="3"/>
      <c r="M13" s="32"/>
    </row>
    <row r="14" spans="1:14" ht="60.75" customHeight="1">
      <c r="A14" s="3"/>
      <c r="B14" s="3"/>
      <c r="C14" s="3"/>
      <c r="D14" s="3"/>
      <c r="E14" s="3"/>
      <c r="F14" s="3"/>
      <c r="K14" s="3"/>
    </row>
    <row r="15" spans="1:14">
      <c r="A15" s="3"/>
      <c r="B15" s="3"/>
      <c r="C15" s="3"/>
      <c r="D15" s="3"/>
      <c r="E15" s="3"/>
      <c r="F15" s="3"/>
      <c r="J15" s="33"/>
      <c r="K15" s="33"/>
      <c r="L15" s="33"/>
    </row>
    <row r="16" spans="1:14" ht="131.5" customHeight="1">
      <c r="A16" s="3"/>
      <c r="B16" s="3"/>
      <c r="C16" s="3"/>
      <c r="D16" s="3"/>
      <c r="E16" s="3"/>
      <c r="F16" s="3"/>
    </row>
    <row r="17" spans="1:6" ht="50" customHeight="1">
      <c r="A17" s="3"/>
      <c r="B17" s="3"/>
      <c r="C17" s="3"/>
      <c r="D17" s="3"/>
      <c r="E17" s="3"/>
      <c r="F17" s="3"/>
    </row>
    <row r="18" spans="1:6" ht="50" customHeight="1">
      <c r="A18" s="3"/>
      <c r="B18" s="3"/>
      <c r="C18" s="3"/>
      <c r="D18" s="3"/>
      <c r="E18" s="3"/>
      <c r="F18" s="3"/>
    </row>
    <row r="19" spans="1:6" ht="35.25" customHeight="1">
      <c r="A19" s="3"/>
      <c r="B19" s="3"/>
      <c r="C19" s="3"/>
      <c r="D19" s="3"/>
      <c r="E19" s="3"/>
      <c r="F19" s="3"/>
    </row>
    <row r="20" spans="1:6" ht="50" customHeight="1">
      <c r="A20" s="3"/>
      <c r="B20" s="3"/>
      <c r="C20" s="3"/>
      <c r="D20" s="3"/>
      <c r="E20" s="3"/>
      <c r="F20" s="3"/>
    </row>
    <row r="21" spans="1:6" ht="50" customHeight="1">
      <c r="A21" s="3"/>
      <c r="B21" s="3"/>
      <c r="C21" s="3"/>
      <c r="D21" s="3"/>
      <c r="E21" s="3"/>
      <c r="F21" s="3"/>
    </row>
    <row r="22" spans="1:6" ht="50" customHeight="1">
      <c r="A22" s="3"/>
      <c r="B22" s="3"/>
      <c r="C22" s="3"/>
      <c r="D22" s="3"/>
      <c r="E22" s="3"/>
      <c r="F22" s="3"/>
    </row>
    <row r="23" spans="1:6" ht="36.75" customHeight="1">
      <c r="A23" s="3"/>
      <c r="B23" s="3"/>
      <c r="C23" s="3"/>
      <c r="D23" s="3"/>
      <c r="E23" s="3"/>
      <c r="F23" s="3"/>
    </row>
    <row r="24" spans="1:6" ht="66.75" customHeight="1">
      <c r="A24" s="3"/>
      <c r="B24" s="3"/>
      <c r="C24" s="3"/>
      <c r="D24" s="3"/>
      <c r="E24" s="3"/>
      <c r="F24" s="3"/>
    </row>
    <row r="25" spans="1:6" ht="50" customHeight="1">
      <c r="A25" s="3"/>
      <c r="B25" s="3"/>
      <c r="C25" s="3"/>
      <c r="D25" s="3"/>
      <c r="E25" s="3"/>
      <c r="F25" s="3"/>
    </row>
    <row r="26" spans="1:6" ht="50" customHeight="1">
      <c r="A26" s="3"/>
      <c r="B26" s="3"/>
      <c r="C26" s="3"/>
      <c r="D26" s="3"/>
      <c r="E26" s="3"/>
      <c r="F26" s="3"/>
    </row>
    <row r="27" spans="1:6" ht="50" customHeight="1">
      <c r="A27" s="3"/>
      <c r="B27" s="3"/>
      <c r="C27" s="3"/>
      <c r="D27" s="3"/>
      <c r="E27" s="3"/>
      <c r="F27" s="3"/>
    </row>
    <row r="28" spans="1:6" ht="48" customHeight="1">
      <c r="A28" s="3"/>
      <c r="B28" s="3"/>
      <c r="C28" s="3"/>
      <c r="D28" s="3"/>
      <c r="E28" s="3"/>
      <c r="F28" s="3"/>
    </row>
    <row r="29" spans="1:6" ht="50" customHeight="1">
      <c r="A29" s="3"/>
      <c r="B29" s="3"/>
      <c r="C29" s="3"/>
      <c r="D29" s="3"/>
      <c r="E29" s="3"/>
      <c r="F29" s="3"/>
    </row>
    <row r="30" spans="1:6" ht="50" customHeight="1">
      <c r="A30" s="3"/>
      <c r="B30" s="3"/>
      <c r="C30" s="3"/>
      <c r="D30" s="3"/>
      <c r="E30" s="3"/>
      <c r="F30" s="3"/>
    </row>
    <row r="31" spans="1:6" ht="62.25" customHeight="1">
      <c r="A31" s="3"/>
      <c r="B31" s="3"/>
      <c r="C31" s="3"/>
      <c r="D31" s="3"/>
      <c r="E31" s="3"/>
      <c r="F31" s="3"/>
    </row>
    <row r="32" spans="1:6" ht="50" customHeight="1">
      <c r="A32" s="3"/>
      <c r="B32" s="3"/>
      <c r="C32" s="3"/>
      <c r="D32" s="3"/>
      <c r="E32" s="3"/>
      <c r="F32" s="3"/>
    </row>
    <row r="33" spans="1:6" ht="50" customHeight="1">
      <c r="A33" s="3"/>
      <c r="B33" s="3"/>
      <c r="C33" s="3"/>
      <c r="D33" s="3"/>
      <c r="E33" s="3"/>
      <c r="F33" s="3"/>
    </row>
    <row r="34" spans="1:6" ht="50.25" customHeight="1">
      <c r="A34" s="3"/>
      <c r="B34" s="3"/>
      <c r="C34" s="3"/>
      <c r="D34" s="3"/>
      <c r="E34" s="3"/>
      <c r="F34" s="3"/>
    </row>
    <row r="35" spans="1:6" ht="50" customHeight="1">
      <c r="A35" s="3"/>
      <c r="B35" s="3"/>
      <c r="C35" s="3"/>
      <c r="D35" s="3"/>
      <c r="E35" s="3"/>
      <c r="F35" s="3"/>
    </row>
    <row r="36" spans="1:6" ht="50" customHeight="1">
      <c r="A36" s="3"/>
      <c r="B36" s="3"/>
      <c r="C36" s="3"/>
      <c r="D36" s="3"/>
      <c r="E36" s="3"/>
      <c r="F36" s="3"/>
    </row>
    <row r="37" spans="1:6" ht="50" customHeight="1">
      <c r="A37" s="3"/>
      <c r="B37" s="3"/>
      <c r="C37" s="3"/>
      <c r="D37" s="3"/>
      <c r="E37" s="3"/>
      <c r="F37" s="3"/>
    </row>
    <row r="38" spans="1:6" ht="39" customHeight="1">
      <c r="A38" s="3"/>
      <c r="B38" s="3"/>
      <c r="C38" s="3"/>
      <c r="D38" s="3"/>
      <c r="E38" s="3"/>
      <c r="F38" s="3"/>
    </row>
    <row r="39" spans="1:6" ht="50" customHeight="1">
      <c r="A39" s="3"/>
      <c r="B39" s="3"/>
      <c r="C39" s="3"/>
      <c r="D39" s="3"/>
      <c r="E39" s="3"/>
      <c r="F39" s="3"/>
    </row>
    <row r="40" spans="1:6" ht="50" customHeight="1">
      <c r="A40" s="3"/>
      <c r="B40" s="3"/>
      <c r="C40" s="3"/>
      <c r="D40" s="3"/>
      <c r="E40" s="3"/>
      <c r="F40" s="3"/>
    </row>
    <row r="41" spans="1:6" ht="50" customHeight="1">
      <c r="A41" s="3"/>
      <c r="B41" s="3"/>
      <c r="C41" s="3"/>
      <c r="D41" s="3"/>
      <c r="E41" s="3"/>
      <c r="F41" s="3"/>
    </row>
    <row r="42" spans="1:6" ht="50" customHeight="1">
      <c r="A42" s="3"/>
      <c r="B42" s="3"/>
      <c r="C42" s="3"/>
      <c r="D42" s="3"/>
      <c r="E42" s="3"/>
      <c r="F42" s="3"/>
    </row>
    <row r="43" spans="1:6" ht="50" customHeight="1"/>
    <row r="44" spans="1:6" ht="40.25" customHeight="1"/>
    <row r="45" spans="1:6" ht="40.25" customHeight="1"/>
    <row r="46" spans="1:6" ht="40.25" customHeight="1"/>
    <row r="47" spans="1:6" ht="40.25" customHeight="1"/>
    <row r="48" spans="1:6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6A64-A111-C34C-AC64-4BCD8F5122F3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F11" sqref="F11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71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8" t="s">
        <v>72</v>
      </c>
      <c r="B2" s="30">
        <v>1</v>
      </c>
      <c r="C2" s="6">
        <f>$C$3*B2</f>
        <v>31</v>
      </c>
      <c r="D2" s="24" t="s">
        <v>48</v>
      </c>
      <c r="E2" s="16" t="s">
        <v>30</v>
      </c>
      <c r="F2" s="29" t="s">
        <v>73</v>
      </c>
      <c r="G2" s="38" t="s">
        <v>74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35" t="s">
        <v>19</v>
      </c>
      <c r="B3" s="37">
        <f>SUM(B2)</f>
        <v>1</v>
      </c>
      <c r="C3" s="35">
        <v>31</v>
      </c>
      <c r="D3" s="35"/>
      <c r="E3" s="35"/>
      <c r="F3" s="35"/>
      <c r="G3" s="35"/>
      <c r="H3" s="35" t="s">
        <v>39</v>
      </c>
      <c r="J3" s="6" t="s">
        <v>5</v>
      </c>
      <c r="K3" s="6">
        <v>29</v>
      </c>
      <c r="L3" s="6" t="s">
        <v>6</v>
      </c>
    </row>
    <row r="4" spans="1:14" ht="70.5" customHeight="1">
      <c r="A4" s="33"/>
      <c r="B4" s="33"/>
      <c r="C4" s="33"/>
      <c r="D4" s="33"/>
      <c r="E4" s="33"/>
      <c r="F4" s="33"/>
      <c r="G4" s="33"/>
      <c r="H4" s="33"/>
      <c r="J4" s="6" t="s">
        <v>7</v>
      </c>
      <c r="K4" s="6">
        <v>82</v>
      </c>
      <c r="L4" s="6" t="s">
        <v>40</v>
      </c>
    </row>
    <row r="5" spans="1:14" ht="54.75" customHeight="1">
      <c r="A5" s="33"/>
      <c r="B5" s="33"/>
      <c r="C5" s="33"/>
      <c r="D5" s="33"/>
      <c r="E5" s="33"/>
      <c r="F5" s="33"/>
      <c r="G5" s="33"/>
      <c r="H5" s="33"/>
      <c r="J5" s="6" t="s">
        <v>9</v>
      </c>
      <c r="K5" s="6">
        <v>31</v>
      </c>
      <c r="L5" s="6" t="s">
        <v>10</v>
      </c>
    </row>
    <row r="6" spans="1:14" ht="70.5" customHeight="1">
      <c r="A6" s="33"/>
      <c r="B6" s="33"/>
      <c r="C6" s="33"/>
      <c r="D6" s="33"/>
      <c r="E6" s="33"/>
      <c r="F6" s="33"/>
      <c r="G6" s="33"/>
      <c r="H6" s="33"/>
      <c r="J6" s="13" t="s">
        <v>11</v>
      </c>
      <c r="K6" s="13">
        <v>4</v>
      </c>
      <c r="L6" s="13" t="s">
        <v>12</v>
      </c>
    </row>
    <row r="7" spans="1:14" ht="72.75" customHeight="1">
      <c r="A7" s="33"/>
      <c r="B7" s="33"/>
      <c r="C7" s="33"/>
      <c r="D7" s="33"/>
      <c r="E7" s="33"/>
      <c r="F7" s="33"/>
      <c r="G7" s="33"/>
      <c r="H7" s="33"/>
      <c r="J7" s="13" t="s">
        <v>13</v>
      </c>
      <c r="K7" s="13">
        <v>5</v>
      </c>
      <c r="L7" s="13" t="s">
        <v>14</v>
      </c>
    </row>
    <row r="8" spans="1:14" ht="72.75" customHeight="1">
      <c r="A8" s="33"/>
      <c r="B8" s="33"/>
      <c r="C8" s="33"/>
      <c r="D8" s="33"/>
      <c r="E8" s="33"/>
      <c r="F8" s="33"/>
      <c r="G8" s="33"/>
      <c r="H8" s="33"/>
      <c r="J8" s="18" t="s">
        <v>15</v>
      </c>
      <c r="K8" s="18">
        <v>11</v>
      </c>
      <c r="L8" s="18" t="s">
        <v>16</v>
      </c>
    </row>
    <row r="9" spans="1:14" ht="75" customHeight="1">
      <c r="A9" s="33"/>
      <c r="B9" s="33"/>
      <c r="C9" s="33"/>
      <c r="D9" s="33"/>
      <c r="E9" s="33"/>
      <c r="F9" s="33"/>
      <c r="G9" s="33"/>
      <c r="H9" s="33"/>
      <c r="J9" s="12" t="s">
        <v>17</v>
      </c>
      <c r="K9" s="12">
        <v>7</v>
      </c>
      <c r="L9" s="6" t="s">
        <v>18</v>
      </c>
    </row>
    <row r="10" spans="1:14" ht="50" customHeight="1">
      <c r="A10" s="33"/>
      <c r="B10" s="33"/>
      <c r="C10" s="33"/>
      <c r="D10" s="33"/>
      <c r="E10" s="33"/>
      <c r="F10" s="33"/>
      <c r="G10" s="33"/>
      <c r="H10" s="3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3"/>
      <c r="B11" s="33"/>
      <c r="C11" s="33"/>
      <c r="D11" s="33"/>
      <c r="E11" s="33"/>
      <c r="F11" s="33"/>
      <c r="G11" s="33"/>
      <c r="H11" s="33"/>
      <c r="J11" s="33"/>
      <c r="K11" s="33"/>
      <c r="L11" s="33"/>
      <c r="M11" s="32"/>
    </row>
    <row r="12" spans="1:14" ht="28.5" customHeight="1">
      <c r="A12" s="33"/>
      <c r="B12" s="33"/>
      <c r="C12" s="33"/>
      <c r="D12" s="33"/>
      <c r="E12" s="33"/>
      <c r="F12" s="33"/>
      <c r="G12" s="33"/>
      <c r="H12" s="33"/>
      <c r="J12" s="33"/>
      <c r="K12" s="33"/>
      <c r="L12" s="33"/>
      <c r="M12" s="32"/>
    </row>
    <row r="13" spans="1:14" ht="50" customHeight="1">
      <c r="A13" s="33"/>
      <c r="B13" s="33"/>
      <c r="C13" s="33"/>
      <c r="D13" s="33"/>
      <c r="E13" s="33"/>
      <c r="F13" s="33"/>
      <c r="G13" s="33"/>
      <c r="H13" s="33"/>
      <c r="K13" s="3"/>
      <c r="M13" s="32"/>
    </row>
    <row r="14" spans="1:14" ht="60.75" customHeight="1">
      <c r="A14" s="33"/>
      <c r="B14" s="33"/>
      <c r="C14" s="33"/>
      <c r="D14" s="33"/>
      <c r="E14" s="33"/>
      <c r="F14" s="33"/>
      <c r="G14" s="33"/>
      <c r="H14" s="33"/>
      <c r="K14" s="3"/>
    </row>
    <row r="15" spans="1:14">
      <c r="A15" s="33"/>
      <c r="B15" s="33"/>
      <c r="C15" s="33"/>
      <c r="D15" s="33"/>
      <c r="E15" s="33"/>
      <c r="F15" s="33"/>
      <c r="G15" s="33"/>
      <c r="H15" s="33"/>
      <c r="J15" s="33"/>
      <c r="K15" s="33"/>
      <c r="L15" s="33"/>
    </row>
    <row r="16" spans="1:14" ht="131.5" customHeight="1">
      <c r="A16" s="33"/>
      <c r="B16" s="33"/>
      <c r="C16" s="33"/>
      <c r="D16" s="33"/>
      <c r="E16" s="33"/>
      <c r="F16" s="33"/>
      <c r="G16" s="33"/>
      <c r="H16" s="33"/>
    </row>
    <row r="17" spans="1:8" ht="50" customHeight="1">
      <c r="A17" s="33"/>
      <c r="B17" s="33"/>
      <c r="C17" s="33"/>
      <c r="D17" s="33"/>
      <c r="E17" s="33"/>
      <c r="F17" s="33"/>
      <c r="G17" s="33"/>
      <c r="H17" s="33"/>
    </row>
    <row r="18" spans="1:8" ht="50" customHeight="1">
      <c r="A18" s="33"/>
      <c r="B18" s="33"/>
      <c r="C18" s="33"/>
      <c r="D18" s="33"/>
      <c r="E18" s="33"/>
      <c r="F18" s="33"/>
      <c r="G18" s="33"/>
      <c r="H18" s="33"/>
    </row>
    <row r="19" spans="1:8" ht="35.25" customHeight="1">
      <c r="A19" s="33"/>
      <c r="B19" s="33"/>
      <c r="C19" s="33"/>
      <c r="D19" s="33"/>
      <c r="E19" s="33"/>
      <c r="F19" s="33"/>
      <c r="G19" s="33"/>
      <c r="H19" s="33"/>
    </row>
    <row r="20" spans="1:8" ht="50" customHeight="1">
      <c r="A20" s="33"/>
      <c r="B20" s="33"/>
      <c r="C20" s="33"/>
      <c r="D20" s="33"/>
      <c r="E20" s="33"/>
      <c r="F20" s="33"/>
      <c r="G20" s="33"/>
      <c r="H20" s="33"/>
    </row>
    <row r="21" spans="1:8" ht="50" customHeight="1">
      <c r="A21" s="33"/>
      <c r="B21" s="33"/>
      <c r="C21" s="33"/>
      <c r="D21" s="33"/>
      <c r="E21" s="33"/>
      <c r="F21" s="33"/>
      <c r="G21" s="33"/>
      <c r="H21" s="33"/>
    </row>
    <row r="22" spans="1:8" ht="50" customHeight="1">
      <c r="A22" s="33"/>
      <c r="B22" s="33"/>
      <c r="C22" s="33"/>
      <c r="D22" s="33"/>
      <c r="E22" s="33"/>
      <c r="F22" s="33"/>
      <c r="G22" s="33"/>
      <c r="H22" s="33"/>
    </row>
    <row r="23" spans="1:8" ht="36.75" customHeight="1">
      <c r="A23" s="33"/>
      <c r="B23" s="33"/>
      <c r="C23" s="33"/>
      <c r="D23" s="33"/>
      <c r="E23" s="33"/>
      <c r="F23" s="33"/>
      <c r="G23" s="33"/>
      <c r="H23" s="33"/>
    </row>
    <row r="24" spans="1:8" ht="66.75" customHeight="1">
      <c r="A24" s="33"/>
      <c r="B24" s="33"/>
      <c r="C24" s="33"/>
      <c r="D24" s="33"/>
      <c r="E24" s="33"/>
      <c r="F24" s="33"/>
      <c r="G24" s="33"/>
      <c r="H24" s="33"/>
    </row>
    <row r="25" spans="1:8" ht="50" customHeight="1">
      <c r="A25" s="33"/>
      <c r="B25" s="33"/>
      <c r="C25" s="33"/>
      <c r="D25" s="33"/>
      <c r="E25" s="33"/>
      <c r="F25" s="33"/>
      <c r="G25" s="33"/>
      <c r="H25" s="33"/>
    </row>
    <row r="26" spans="1:8" ht="50" customHeight="1">
      <c r="A26" s="33"/>
      <c r="B26" s="33"/>
      <c r="C26" s="33"/>
      <c r="D26" s="33"/>
      <c r="E26" s="33"/>
      <c r="F26" s="33"/>
      <c r="G26" s="33"/>
      <c r="H26" s="33"/>
    </row>
    <row r="27" spans="1:8" ht="50" customHeight="1">
      <c r="A27" s="33"/>
      <c r="B27" s="33"/>
      <c r="C27" s="33"/>
      <c r="D27" s="33"/>
      <c r="E27" s="33"/>
      <c r="F27" s="33"/>
      <c r="G27" s="33"/>
      <c r="H27" s="33"/>
    </row>
    <row r="28" spans="1:8" ht="48" customHeight="1">
      <c r="A28" s="33"/>
      <c r="B28" s="33"/>
      <c r="C28" s="33"/>
      <c r="D28" s="33"/>
      <c r="E28" s="33"/>
      <c r="F28" s="33"/>
      <c r="G28" s="33"/>
      <c r="H28" s="33"/>
    </row>
    <row r="29" spans="1:8" ht="50" customHeight="1">
      <c r="A29" s="33"/>
      <c r="B29" s="33"/>
      <c r="C29" s="33"/>
      <c r="D29" s="33"/>
      <c r="E29" s="33"/>
      <c r="F29" s="33"/>
      <c r="G29" s="33"/>
      <c r="H29" s="33"/>
    </row>
    <row r="30" spans="1:8" ht="50" customHeight="1">
      <c r="A30" s="33"/>
      <c r="B30" s="33"/>
      <c r="C30" s="33"/>
      <c r="D30" s="33"/>
      <c r="E30" s="33"/>
      <c r="F30" s="33"/>
      <c r="G30" s="33"/>
      <c r="H30" s="33"/>
    </row>
    <row r="31" spans="1:8" ht="62.25" customHeight="1">
      <c r="A31" s="33"/>
      <c r="B31" s="33"/>
      <c r="C31" s="33"/>
      <c r="D31" s="33"/>
      <c r="E31" s="33"/>
      <c r="F31" s="33"/>
      <c r="G31" s="33"/>
      <c r="H31" s="33"/>
    </row>
    <row r="32" spans="1:8" ht="50" customHeight="1">
      <c r="A32" s="33"/>
      <c r="B32" s="33"/>
      <c r="C32" s="33"/>
      <c r="D32" s="33"/>
      <c r="E32" s="33"/>
      <c r="F32" s="33"/>
      <c r="G32" s="33"/>
      <c r="H32" s="33"/>
    </row>
    <row r="33" spans="1:8" ht="50" customHeight="1">
      <c r="A33" s="33"/>
      <c r="B33" s="33"/>
      <c r="C33" s="33"/>
      <c r="D33" s="33"/>
      <c r="E33" s="33"/>
      <c r="F33" s="33"/>
      <c r="G33" s="33"/>
      <c r="H33" s="33"/>
    </row>
    <row r="34" spans="1:8" ht="50.25" customHeight="1">
      <c r="A34" s="33"/>
      <c r="B34" s="33"/>
      <c r="C34" s="33"/>
      <c r="D34" s="33"/>
      <c r="E34" s="33"/>
      <c r="F34" s="33"/>
      <c r="G34" s="33"/>
      <c r="H34" s="33"/>
    </row>
    <row r="35" spans="1:8" ht="50" customHeight="1">
      <c r="A35" s="33"/>
      <c r="B35" s="33"/>
      <c r="C35" s="33"/>
      <c r="D35" s="33"/>
      <c r="E35" s="33"/>
      <c r="F35" s="33"/>
      <c r="G35" s="33"/>
      <c r="H35" s="33"/>
    </row>
    <row r="36" spans="1:8" ht="50" customHeight="1">
      <c r="A36" s="33"/>
      <c r="B36" s="33"/>
      <c r="C36" s="33"/>
      <c r="D36" s="33"/>
      <c r="E36" s="33"/>
      <c r="F36" s="33"/>
      <c r="G36" s="33"/>
      <c r="H36" s="33"/>
    </row>
    <row r="37" spans="1:8" ht="50" customHeight="1">
      <c r="A37" s="33"/>
      <c r="B37" s="33"/>
      <c r="C37" s="33"/>
      <c r="D37" s="33"/>
      <c r="E37" s="33"/>
      <c r="F37" s="33"/>
      <c r="G37" s="33"/>
      <c r="H37" s="33"/>
    </row>
    <row r="38" spans="1:8" ht="39" customHeight="1">
      <c r="A38" s="33"/>
      <c r="B38" s="33"/>
      <c r="C38" s="33"/>
      <c r="D38" s="33"/>
      <c r="E38" s="33"/>
      <c r="F38" s="33"/>
      <c r="G38" s="33"/>
      <c r="H38" s="33"/>
    </row>
    <row r="39" spans="1:8" ht="50" customHeight="1">
      <c r="A39" s="33"/>
      <c r="B39" s="33"/>
      <c r="C39" s="33"/>
      <c r="D39" s="33"/>
      <c r="E39" s="33"/>
      <c r="F39" s="33"/>
      <c r="G39" s="33"/>
      <c r="H39" s="33"/>
    </row>
    <row r="40" spans="1:8" ht="50" customHeight="1">
      <c r="A40" s="33"/>
      <c r="B40" s="33"/>
      <c r="C40" s="33"/>
      <c r="D40" s="33"/>
      <c r="E40" s="33"/>
      <c r="F40" s="33"/>
      <c r="G40" s="33"/>
      <c r="H40" s="33"/>
    </row>
    <row r="41" spans="1:8" ht="50" customHeight="1">
      <c r="A41" s="33"/>
      <c r="B41" s="33"/>
      <c r="C41" s="33"/>
      <c r="D41" s="33"/>
      <c r="E41" s="33"/>
      <c r="F41" s="33"/>
      <c r="G41" s="33"/>
      <c r="H41" s="33"/>
    </row>
    <row r="42" spans="1:8" ht="50" customHeight="1">
      <c r="A42" s="33"/>
      <c r="B42" s="33"/>
      <c r="C42" s="33"/>
      <c r="D42" s="33"/>
      <c r="E42" s="33"/>
      <c r="F42" s="33"/>
      <c r="G42" s="33"/>
      <c r="H42" s="33"/>
    </row>
    <row r="43" spans="1:8" ht="50" customHeight="1">
      <c r="A43" s="33"/>
      <c r="B43" s="33"/>
      <c r="C43" s="33"/>
      <c r="D43" s="33"/>
      <c r="E43" s="33"/>
      <c r="F43" s="33"/>
      <c r="G43" s="33"/>
      <c r="H43" s="33"/>
    </row>
    <row r="44" spans="1:8" ht="40.25" customHeight="1">
      <c r="A44" s="33"/>
      <c r="B44" s="33"/>
      <c r="C44" s="33"/>
      <c r="D44" s="33"/>
      <c r="E44" s="33"/>
      <c r="F44" s="33"/>
      <c r="G44" s="33"/>
      <c r="H44" s="33"/>
    </row>
    <row r="45" spans="1:8" ht="40.25" customHeight="1">
      <c r="A45" s="33"/>
      <c r="B45" s="33"/>
      <c r="C45" s="33"/>
      <c r="D45" s="33"/>
      <c r="E45" s="33"/>
      <c r="F45" s="33"/>
      <c r="G45" s="33"/>
      <c r="H45" s="33"/>
    </row>
    <row r="46" spans="1:8" ht="40.25" customHeight="1">
      <c r="A46" s="33"/>
      <c r="B46" s="33"/>
      <c r="C46" s="33"/>
      <c r="D46" s="33"/>
      <c r="E46" s="33"/>
      <c r="F46" s="33"/>
      <c r="G46" s="33"/>
      <c r="H46" s="33"/>
    </row>
    <row r="47" spans="1:8" ht="40.25" customHeight="1"/>
    <row r="48" spans="1:8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8911-2B42-1941-AD07-7E5AF7835AA8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G11" sqref="G11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82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1" t="s">
        <v>76</v>
      </c>
      <c r="B2" s="20">
        <v>0.2</v>
      </c>
      <c r="C2" s="6">
        <f>$C$5*B2</f>
        <v>1</v>
      </c>
      <c r="D2" s="16" t="s">
        <v>48</v>
      </c>
      <c r="E2" s="16" t="s">
        <v>36</v>
      </c>
      <c r="F2" s="8" t="s">
        <v>77</v>
      </c>
      <c r="G2" s="7" t="s">
        <v>83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21" t="s">
        <v>62</v>
      </c>
      <c r="B3" s="20">
        <v>0.75</v>
      </c>
      <c r="C3" s="6">
        <f>$C$5*B3</f>
        <v>3.75</v>
      </c>
      <c r="D3" s="16" t="s">
        <v>53</v>
      </c>
      <c r="E3" s="16" t="s">
        <v>48</v>
      </c>
      <c r="F3" s="21" t="s">
        <v>84</v>
      </c>
      <c r="G3" s="7" t="s">
        <v>85</v>
      </c>
      <c r="H3" s="5"/>
      <c r="J3" s="6" t="s">
        <v>5</v>
      </c>
      <c r="K3" s="6">
        <v>29</v>
      </c>
      <c r="L3" s="6" t="s">
        <v>6</v>
      </c>
    </row>
    <row r="4" spans="1:14" ht="70.5" customHeight="1">
      <c r="A4" s="21" t="s">
        <v>79</v>
      </c>
      <c r="B4" s="20">
        <v>0.05</v>
      </c>
      <c r="C4" s="6">
        <f>$C$5*B4</f>
        <v>0.25</v>
      </c>
      <c r="D4" s="16" t="s">
        <v>48</v>
      </c>
      <c r="E4" s="7" t="s">
        <v>30</v>
      </c>
      <c r="F4" s="29" t="s">
        <v>80</v>
      </c>
      <c r="G4" s="7" t="s">
        <v>86</v>
      </c>
      <c r="H4" s="5"/>
      <c r="J4" s="6" t="s">
        <v>7</v>
      </c>
      <c r="K4" s="6">
        <v>82</v>
      </c>
      <c r="L4" s="6" t="s">
        <v>40</v>
      </c>
    </row>
    <row r="5" spans="1:14" ht="54.75" customHeight="1">
      <c r="A5" s="35" t="s">
        <v>19</v>
      </c>
      <c r="B5" s="37">
        <f>SUM(B2:B4)</f>
        <v>1</v>
      </c>
      <c r="C5" s="35">
        <v>5</v>
      </c>
      <c r="D5" s="35"/>
      <c r="E5" s="35"/>
      <c r="F5" s="35"/>
      <c r="G5" s="35"/>
      <c r="H5" s="35" t="s">
        <v>39</v>
      </c>
      <c r="J5" s="6" t="s">
        <v>9</v>
      </c>
      <c r="K5" s="6">
        <v>31</v>
      </c>
      <c r="L5" s="6" t="s">
        <v>10</v>
      </c>
    </row>
    <row r="6" spans="1:14" ht="70.5" customHeight="1">
      <c r="A6" s="3"/>
      <c r="B6" s="3"/>
      <c r="C6" s="3"/>
      <c r="D6" s="3"/>
      <c r="E6" s="3"/>
      <c r="F6" s="3"/>
      <c r="J6" s="13" t="s">
        <v>11</v>
      </c>
      <c r="K6" s="13">
        <v>4</v>
      </c>
      <c r="L6" s="13" t="s">
        <v>12</v>
      </c>
    </row>
    <row r="7" spans="1:14" ht="72.75" customHeight="1">
      <c r="A7" s="3"/>
      <c r="B7" s="3"/>
      <c r="C7" s="3"/>
      <c r="D7" s="3"/>
      <c r="E7" s="3"/>
      <c r="F7" s="3"/>
      <c r="J7" s="13" t="s">
        <v>13</v>
      </c>
      <c r="K7" s="13">
        <v>5</v>
      </c>
      <c r="L7" s="13" t="s">
        <v>14</v>
      </c>
    </row>
    <row r="8" spans="1:14" ht="72.75" customHeight="1">
      <c r="A8" s="3"/>
      <c r="B8" s="3"/>
      <c r="C8" s="3"/>
      <c r="D8" s="3"/>
      <c r="E8" s="3"/>
      <c r="F8" s="3"/>
      <c r="J8" s="18" t="s">
        <v>15</v>
      </c>
      <c r="K8" s="18">
        <v>11</v>
      </c>
      <c r="L8" s="18" t="s">
        <v>16</v>
      </c>
    </row>
    <row r="9" spans="1:14" ht="75" customHeight="1">
      <c r="A9" s="3"/>
      <c r="B9" s="3"/>
      <c r="C9" s="3"/>
      <c r="D9" s="3"/>
      <c r="E9" s="3"/>
      <c r="F9" s="3"/>
      <c r="J9" s="12" t="s">
        <v>17</v>
      </c>
      <c r="K9" s="12">
        <v>7</v>
      </c>
      <c r="L9" s="6" t="s">
        <v>18</v>
      </c>
    </row>
    <row r="10" spans="1:14" ht="50" customHeight="1">
      <c r="A10" s="3"/>
      <c r="B10" s="3"/>
      <c r="C10" s="3"/>
      <c r="D10" s="3"/>
      <c r="E10" s="3"/>
      <c r="F10" s="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"/>
      <c r="B11" s="3"/>
      <c r="C11" s="3"/>
      <c r="D11" s="3"/>
      <c r="E11" s="3"/>
      <c r="F11" s="3"/>
      <c r="J11" s="33"/>
      <c r="K11" s="33"/>
      <c r="L11" s="33"/>
      <c r="M11" s="32"/>
    </row>
    <row r="12" spans="1:14" ht="28.5" customHeight="1">
      <c r="A12" s="3"/>
      <c r="B12" s="3"/>
      <c r="C12" s="3"/>
      <c r="D12" s="3"/>
      <c r="E12" s="3"/>
      <c r="F12" s="3"/>
      <c r="J12" s="33"/>
      <c r="K12" s="33"/>
      <c r="L12" s="33"/>
      <c r="M12" s="32"/>
    </row>
    <row r="13" spans="1:14" ht="50" customHeight="1">
      <c r="A13" s="3"/>
      <c r="B13" s="3"/>
      <c r="C13" s="3"/>
      <c r="D13" s="3"/>
      <c r="E13" s="3"/>
      <c r="F13" s="3"/>
      <c r="K13" s="3"/>
      <c r="M13" s="32"/>
    </row>
    <row r="14" spans="1:14" ht="60.75" customHeight="1">
      <c r="A14" s="3"/>
      <c r="B14" s="3"/>
      <c r="C14" s="3"/>
      <c r="D14" s="3"/>
      <c r="E14" s="3"/>
      <c r="F14" s="3"/>
      <c r="K14" s="3"/>
    </row>
    <row r="15" spans="1:14">
      <c r="A15" s="3"/>
      <c r="B15" s="3"/>
      <c r="C15" s="3"/>
      <c r="D15" s="3"/>
      <c r="E15" s="3"/>
      <c r="F15" s="3"/>
      <c r="J15" s="33"/>
      <c r="K15" s="33"/>
      <c r="L15" s="33"/>
    </row>
    <row r="16" spans="1:14" ht="131.5" customHeight="1">
      <c r="A16" s="3"/>
      <c r="B16" s="3"/>
      <c r="C16" s="3"/>
      <c r="D16" s="3"/>
      <c r="E16" s="3"/>
      <c r="F16" s="3"/>
    </row>
    <row r="17" spans="1:6" ht="50" customHeight="1">
      <c r="A17" s="3"/>
      <c r="B17" s="3"/>
      <c r="C17" s="3"/>
      <c r="D17" s="3"/>
      <c r="E17" s="3"/>
      <c r="F17" s="3"/>
    </row>
    <row r="18" spans="1:6" ht="50" customHeight="1">
      <c r="A18" s="3"/>
      <c r="B18" s="3"/>
      <c r="C18" s="3"/>
      <c r="D18" s="3"/>
      <c r="E18" s="3"/>
      <c r="F18" s="3"/>
    </row>
    <row r="19" spans="1:6" ht="35.25" customHeight="1">
      <c r="A19" s="3"/>
      <c r="B19" s="3"/>
      <c r="C19" s="3"/>
      <c r="D19" s="3"/>
      <c r="E19" s="3"/>
      <c r="F19" s="3"/>
    </row>
    <row r="20" spans="1:6" ht="50" customHeight="1">
      <c r="A20" s="3"/>
      <c r="B20" s="3"/>
      <c r="C20" s="3"/>
      <c r="D20" s="3"/>
      <c r="E20" s="3"/>
      <c r="F20" s="3"/>
    </row>
    <row r="21" spans="1:6" ht="50" customHeight="1">
      <c r="A21" s="3"/>
      <c r="B21" s="3"/>
      <c r="C21" s="3"/>
      <c r="D21" s="3"/>
      <c r="E21" s="3"/>
      <c r="F21" s="3"/>
    </row>
    <row r="22" spans="1:6" ht="50" customHeight="1">
      <c r="A22" s="3"/>
      <c r="B22" s="3"/>
      <c r="C22" s="3"/>
      <c r="D22" s="3"/>
      <c r="E22" s="3"/>
      <c r="F22" s="3"/>
    </row>
    <row r="23" spans="1:6" ht="36.75" customHeight="1">
      <c r="A23" s="3"/>
      <c r="B23" s="3"/>
      <c r="C23" s="3"/>
      <c r="D23" s="3"/>
      <c r="E23" s="3"/>
      <c r="F23" s="3"/>
    </row>
    <row r="24" spans="1:6" ht="66.75" customHeight="1">
      <c r="A24" s="3"/>
      <c r="B24" s="3"/>
      <c r="C24" s="3"/>
      <c r="D24" s="3"/>
      <c r="E24" s="3"/>
      <c r="F24" s="3"/>
    </row>
    <row r="25" spans="1:6" ht="50" customHeight="1">
      <c r="A25" s="3"/>
      <c r="B25" s="3"/>
      <c r="C25" s="3"/>
      <c r="D25" s="3"/>
      <c r="E25" s="3"/>
      <c r="F25" s="3"/>
    </row>
    <row r="26" spans="1:6" ht="50" customHeight="1">
      <c r="A26" s="3"/>
      <c r="B26" s="3"/>
      <c r="C26" s="3"/>
      <c r="D26" s="3"/>
      <c r="E26" s="3"/>
      <c r="F26" s="3"/>
    </row>
    <row r="27" spans="1:6" ht="50" customHeight="1">
      <c r="A27" s="3"/>
      <c r="B27" s="3"/>
      <c r="C27" s="3"/>
      <c r="D27" s="3"/>
      <c r="E27" s="3"/>
      <c r="F27" s="3"/>
    </row>
    <row r="28" spans="1:6" ht="48" customHeight="1">
      <c r="A28" s="3"/>
      <c r="B28" s="3"/>
      <c r="C28" s="3"/>
      <c r="D28" s="3"/>
      <c r="E28" s="3"/>
      <c r="F28" s="3"/>
    </row>
    <row r="29" spans="1:6" ht="50" customHeight="1">
      <c r="A29" s="3"/>
      <c r="B29" s="3"/>
      <c r="C29" s="3"/>
      <c r="D29" s="3"/>
      <c r="E29" s="3"/>
      <c r="F29" s="3"/>
    </row>
    <row r="30" spans="1:6" ht="50" customHeight="1">
      <c r="A30" s="3"/>
      <c r="B30" s="3"/>
      <c r="C30" s="3"/>
      <c r="D30" s="3"/>
      <c r="E30" s="3"/>
      <c r="F30" s="3"/>
    </row>
    <row r="31" spans="1:6" ht="62.25" customHeight="1">
      <c r="A31" s="3"/>
      <c r="B31" s="3"/>
      <c r="C31" s="3"/>
      <c r="D31" s="3"/>
      <c r="E31" s="3"/>
      <c r="F31" s="3"/>
    </row>
    <row r="32" spans="1:6" ht="50" customHeight="1">
      <c r="A32" s="3"/>
      <c r="B32" s="3"/>
      <c r="C32" s="3"/>
      <c r="D32" s="3"/>
      <c r="E32" s="3"/>
      <c r="F32" s="3"/>
    </row>
    <row r="33" spans="1:6" ht="50" customHeight="1">
      <c r="A33" s="3"/>
      <c r="B33" s="3"/>
      <c r="C33" s="3"/>
      <c r="D33" s="3"/>
      <c r="E33" s="3"/>
      <c r="F33" s="3"/>
    </row>
    <row r="34" spans="1:6" ht="50.25" customHeight="1">
      <c r="A34" s="3"/>
      <c r="B34" s="3"/>
      <c r="C34" s="3"/>
      <c r="D34" s="3"/>
      <c r="E34" s="3"/>
      <c r="F34" s="3"/>
    </row>
    <row r="35" spans="1:6" ht="50" customHeight="1">
      <c r="A35" s="3"/>
      <c r="B35" s="3"/>
      <c r="C35" s="3"/>
      <c r="D35" s="3"/>
      <c r="E35" s="3"/>
      <c r="F35" s="3"/>
    </row>
    <row r="36" spans="1:6" ht="50" customHeight="1">
      <c r="A36" s="3"/>
      <c r="B36" s="3"/>
      <c r="C36" s="3"/>
      <c r="D36" s="3"/>
      <c r="E36" s="3"/>
      <c r="F36" s="3"/>
    </row>
    <row r="37" spans="1:6" ht="50" customHeight="1">
      <c r="A37" s="3"/>
      <c r="B37" s="3"/>
      <c r="C37" s="3"/>
      <c r="D37" s="3"/>
      <c r="E37" s="3"/>
      <c r="F37" s="3"/>
    </row>
    <row r="38" spans="1:6" ht="39" customHeight="1">
      <c r="A38" s="3"/>
      <c r="B38" s="3"/>
      <c r="C38" s="3"/>
      <c r="D38" s="3"/>
      <c r="E38" s="3"/>
      <c r="F38" s="3"/>
    </row>
    <row r="39" spans="1:6" ht="50" customHeight="1">
      <c r="A39" s="3"/>
      <c r="B39" s="3"/>
      <c r="C39" s="3"/>
      <c r="D39" s="3"/>
      <c r="E39" s="3"/>
      <c r="F39" s="3"/>
    </row>
    <row r="40" spans="1:6" ht="50" customHeight="1">
      <c r="A40" s="3"/>
      <c r="B40" s="3"/>
      <c r="C40" s="3"/>
      <c r="D40" s="3"/>
      <c r="E40" s="3"/>
      <c r="F40" s="3"/>
    </row>
    <row r="41" spans="1:6" ht="50" customHeight="1">
      <c r="A41" s="3"/>
      <c r="B41" s="3"/>
      <c r="C41" s="3"/>
      <c r="D41" s="3"/>
      <c r="E41" s="3"/>
      <c r="F41" s="3"/>
    </row>
    <row r="42" spans="1:6" ht="50" customHeight="1">
      <c r="A42" s="3"/>
      <c r="B42" s="3"/>
      <c r="C42" s="3"/>
      <c r="D42" s="3"/>
      <c r="E42" s="3"/>
      <c r="F42" s="3"/>
    </row>
    <row r="43" spans="1:6" ht="50" customHeight="1">
      <c r="A43" s="3"/>
      <c r="B43" s="3"/>
      <c r="C43" s="3"/>
      <c r="D43" s="3"/>
      <c r="E43" s="3"/>
      <c r="F43" s="3"/>
    </row>
    <row r="44" spans="1:6" ht="40.25" customHeight="1"/>
    <row r="45" spans="1:6" ht="40.25" customHeight="1"/>
    <row r="46" spans="1:6" ht="40.25" customHeight="1"/>
    <row r="47" spans="1:6" ht="40.25" customHeight="1"/>
    <row r="48" spans="1:6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FD4F-38E2-9E4F-AEAA-9879F9425061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H9" sqref="H9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87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1" t="s">
        <v>76</v>
      </c>
      <c r="B2" s="20">
        <v>1</v>
      </c>
      <c r="C2" s="6">
        <f>$C$3*B2</f>
        <v>11</v>
      </c>
      <c r="D2" s="16" t="s">
        <v>48</v>
      </c>
      <c r="E2" s="16" t="s">
        <v>36</v>
      </c>
      <c r="F2" s="8" t="s">
        <v>77</v>
      </c>
      <c r="G2" s="7" t="s">
        <v>88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35" t="s">
        <v>19</v>
      </c>
      <c r="B3" s="37">
        <f>SUM(B2)</f>
        <v>1</v>
      </c>
      <c r="C3" s="35">
        <v>11</v>
      </c>
      <c r="D3" s="35"/>
      <c r="E3" s="35"/>
      <c r="F3" s="36"/>
      <c r="G3" s="35"/>
      <c r="H3" s="35" t="s">
        <v>39</v>
      </c>
      <c r="J3" s="6" t="s">
        <v>5</v>
      </c>
      <c r="K3" s="6">
        <v>29</v>
      </c>
      <c r="L3" s="6" t="s">
        <v>6</v>
      </c>
    </row>
    <row r="4" spans="1:14" ht="70.5" customHeight="1">
      <c r="A4" s="3"/>
      <c r="B4" s="3"/>
      <c r="C4" s="3"/>
      <c r="D4" s="3"/>
      <c r="E4" s="3"/>
      <c r="F4" s="3"/>
      <c r="J4" s="6" t="s">
        <v>7</v>
      </c>
      <c r="K4" s="6">
        <v>82</v>
      </c>
      <c r="L4" s="6" t="s">
        <v>40</v>
      </c>
    </row>
    <row r="5" spans="1:14" ht="54.75" customHeight="1">
      <c r="A5" s="3"/>
      <c r="B5" s="3"/>
      <c r="C5" s="3"/>
      <c r="D5" s="3"/>
      <c r="E5" s="3"/>
      <c r="F5" s="3"/>
      <c r="J5" s="6" t="s">
        <v>9</v>
      </c>
      <c r="K5" s="6">
        <v>31</v>
      </c>
      <c r="L5" s="6" t="s">
        <v>10</v>
      </c>
    </row>
    <row r="6" spans="1:14" ht="70.5" customHeight="1">
      <c r="A6" s="3"/>
      <c r="B6" s="3"/>
      <c r="C6" s="3"/>
      <c r="D6" s="3"/>
      <c r="E6" s="3"/>
      <c r="F6" s="3"/>
      <c r="J6" s="13" t="s">
        <v>11</v>
      </c>
      <c r="K6" s="13">
        <v>4</v>
      </c>
      <c r="L6" s="13" t="s">
        <v>12</v>
      </c>
    </row>
    <row r="7" spans="1:14" ht="72.75" customHeight="1">
      <c r="A7" s="3"/>
      <c r="B7" s="3"/>
      <c r="C7" s="3"/>
      <c r="D7" s="3"/>
      <c r="E7" s="3"/>
      <c r="F7" s="3"/>
      <c r="J7" s="13" t="s">
        <v>13</v>
      </c>
      <c r="K7" s="13">
        <v>5</v>
      </c>
      <c r="L7" s="13" t="s">
        <v>14</v>
      </c>
    </row>
    <row r="8" spans="1:14" ht="72.75" customHeight="1">
      <c r="A8" s="3"/>
      <c r="B8" s="3"/>
      <c r="C8" s="3"/>
      <c r="D8" s="3"/>
      <c r="E8" s="3"/>
      <c r="F8" s="3"/>
      <c r="J8" s="18" t="s">
        <v>15</v>
      </c>
      <c r="K8" s="18">
        <v>11</v>
      </c>
      <c r="L8" s="18" t="s">
        <v>16</v>
      </c>
    </row>
    <row r="9" spans="1:14" ht="75" customHeight="1">
      <c r="A9" s="3"/>
      <c r="B9" s="3"/>
      <c r="C9" s="3"/>
      <c r="D9" s="3"/>
      <c r="E9" s="3"/>
      <c r="F9" s="3"/>
      <c r="J9" s="12" t="s">
        <v>17</v>
      </c>
      <c r="K9" s="12">
        <v>7</v>
      </c>
      <c r="L9" s="6" t="s">
        <v>18</v>
      </c>
    </row>
    <row r="10" spans="1:14" ht="50" customHeight="1">
      <c r="A10" s="3"/>
      <c r="B10" s="3"/>
      <c r="C10" s="3"/>
      <c r="D10" s="3"/>
      <c r="E10" s="3"/>
      <c r="F10" s="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"/>
      <c r="B11" s="3"/>
      <c r="C11" s="3"/>
      <c r="D11" s="3"/>
      <c r="E11" s="3"/>
      <c r="F11" s="3"/>
      <c r="J11" s="33"/>
      <c r="K11" s="33"/>
      <c r="L11" s="33"/>
      <c r="M11" s="32"/>
    </row>
    <row r="12" spans="1:14" ht="28.5" customHeight="1">
      <c r="A12" s="3"/>
      <c r="B12" s="3"/>
      <c r="C12" s="3"/>
      <c r="D12" s="3"/>
      <c r="E12" s="3"/>
      <c r="F12" s="3"/>
      <c r="J12" s="33"/>
      <c r="K12" s="33"/>
      <c r="L12" s="33"/>
      <c r="M12" s="32"/>
    </row>
    <row r="13" spans="1:14" ht="50" customHeight="1">
      <c r="A13" s="3"/>
      <c r="B13" s="3"/>
      <c r="C13" s="3"/>
      <c r="D13" s="3"/>
      <c r="E13" s="3"/>
      <c r="F13" s="3"/>
      <c r="K13" s="3"/>
      <c r="M13" s="32"/>
    </row>
    <row r="14" spans="1:14" ht="60.75" customHeight="1">
      <c r="A14" s="3"/>
      <c r="B14" s="3"/>
      <c r="C14" s="3"/>
      <c r="D14" s="3"/>
      <c r="E14" s="3"/>
      <c r="F14" s="3"/>
      <c r="K14" s="3"/>
    </row>
    <row r="15" spans="1:14">
      <c r="A15" s="3"/>
      <c r="B15" s="3"/>
      <c r="C15" s="3"/>
      <c r="D15" s="3"/>
      <c r="E15" s="3"/>
      <c r="F15" s="3"/>
      <c r="J15" s="33"/>
      <c r="K15" s="33"/>
      <c r="L15" s="33"/>
    </row>
    <row r="16" spans="1:14" ht="131.5" customHeight="1">
      <c r="A16" s="3"/>
      <c r="B16" s="3"/>
      <c r="C16" s="3"/>
      <c r="D16" s="3"/>
      <c r="E16" s="3"/>
      <c r="F16" s="3"/>
    </row>
    <row r="17" spans="1:6" ht="50" customHeight="1">
      <c r="A17" s="3"/>
      <c r="B17" s="3"/>
      <c r="C17" s="3"/>
      <c r="D17" s="3"/>
      <c r="E17" s="3"/>
      <c r="F17" s="3"/>
    </row>
    <row r="18" spans="1:6" ht="50" customHeight="1">
      <c r="A18" s="3"/>
      <c r="B18" s="3"/>
      <c r="C18" s="3"/>
      <c r="D18" s="3"/>
      <c r="E18" s="3"/>
      <c r="F18" s="3"/>
    </row>
    <row r="19" spans="1:6" ht="35.25" customHeight="1">
      <c r="A19" s="3"/>
      <c r="B19" s="3"/>
      <c r="C19" s="3"/>
      <c r="D19" s="3"/>
      <c r="E19" s="3"/>
      <c r="F19" s="3"/>
    </row>
    <row r="20" spans="1:6" ht="50" customHeight="1">
      <c r="A20" s="3"/>
      <c r="B20" s="3"/>
      <c r="C20" s="3"/>
      <c r="D20" s="3"/>
      <c r="E20" s="3"/>
      <c r="F20" s="3"/>
    </row>
    <row r="21" spans="1:6" ht="50" customHeight="1">
      <c r="A21" s="3"/>
      <c r="B21" s="3"/>
      <c r="C21" s="3"/>
      <c r="D21" s="3"/>
      <c r="E21" s="3"/>
      <c r="F21" s="3"/>
    </row>
    <row r="22" spans="1:6" ht="50" customHeight="1">
      <c r="A22" s="3"/>
      <c r="B22" s="3"/>
      <c r="C22" s="3"/>
      <c r="D22" s="3"/>
      <c r="E22" s="3"/>
      <c r="F22" s="3"/>
    </row>
    <row r="23" spans="1:6" ht="36.75" customHeight="1">
      <c r="A23" s="3"/>
      <c r="B23" s="3"/>
      <c r="C23" s="3"/>
      <c r="D23" s="3"/>
      <c r="E23" s="3"/>
      <c r="F23" s="3"/>
    </row>
    <row r="24" spans="1:6" ht="66.75" customHeight="1">
      <c r="A24" s="3"/>
      <c r="B24" s="3"/>
      <c r="C24" s="3"/>
      <c r="D24" s="3"/>
      <c r="E24" s="3"/>
      <c r="F24" s="3"/>
    </row>
    <row r="25" spans="1:6" ht="50" customHeight="1"/>
    <row r="26" spans="1:6" ht="50" customHeight="1"/>
    <row r="27" spans="1:6" ht="50" customHeight="1"/>
    <row r="28" spans="1:6" ht="48" customHeight="1"/>
    <row r="29" spans="1:6" ht="50" customHeight="1"/>
    <row r="30" spans="1:6" ht="50" customHeight="1"/>
    <row r="31" spans="1:6" ht="62.25" customHeight="1"/>
    <row r="32" spans="1:6" ht="50" customHeight="1"/>
    <row r="33" ht="50" customHeight="1"/>
    <row r="34" ht="50.25" customHeight="1"/>
    <row r="35" ht="50" customHeight="1"/>
    <row r="36" ht="50" customHeight="1"/>
    <row r="37" ht="50" customHeight="1"/>
    <row r="38" ht="39" customHeight="1"/>
    <row r="39" ht="50" customHeight="1"/>
    <row r="40" ht="50" customHeight="1"/>
    <row r="41" ht="50" customHeight="1"/>
    <row r="42" ht="50" customHeight="1"/>
    <row r="43" ht="50" customHeight="1"/>
    <row r="44" ht="40.25" customHeight="1"/>
    <row r="45" ht="40.25" customHeight="1"/>
    <row r="46" ht="40.25" customHeight="1"/>
    <row r="47" ht="40.25" customHeight="1"/>
    <row r="48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01DB-08A3-D84F-90F6-50A8E9D8C1E8}">
  <sheetPr>
    <tabColor rgb="FF00B050"/>
  </sheetPr>
  <dimension ref="A1:N49"/>
  <sheetViews>
    <sheetView zoomScaleNormal="100" workbookViewId="0">
      <pane ySplit="1" topLeftCell="A2" activePane="bottomLeft" state="frozen"/>
      <selection pane="bottomLeft" activeCell="G10" sqref="G10"/>
    </sheetView>
  </sheetViews>
  <sheetFormatPr baseColWidth="10" defaultColWidth="10.6640625" defaultRowHeight="13"/>
  <cols>
    <col min="1" max="1" width="26.5" style="2" bestFit="1" customWidth="1"/>
    <col min="2" max="3" width="12.6640625" style="2" customWidth="1"/>
    <col min="4" max="4" width="20.6640625" style="2" customWidth="1"/>
    <col min="5" max="5" width="24.1640625" style="2" customWidth="1"/>
    <col min="6" max="6" width="25.6640625" style="2" customWidth="1"/>
    <col min="7" max="7" width="34.83203125" style="3" customWidth="1"/>
    <col min="8" max="8" width="40.6640625" style="3" customWidth="1"/>
    <col min="9" max="9" width="9" style="3" bestFit="1" customWidth="1"/>
    <col min="10" max="10" width="20.6640625" style="3" customWidth="1"/>
    <col min="11" max="11" width="9" style="2" bestFit="1" customWidth="1"/>
    <col min="12" max="12" width="31.33203125" style="3" customWidth="1"/>
    <col min="13" max="16384" width="10.6640625" style="3"/>
  </cols>
  <sheetData>
    <row r="1" spans="1:14" s="2" customFormat="1" ht="40.25" customHeight="1">
      <c r="A1" s="9" t="s">
        <v>89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J1" s="4" t="s">
        <v>0</v>
      </c>
      <c r="K1" s="4" t="s">
        <v>1</v>
      </c>
      <c r="L1" s="4" t="s">
        <v>2</v>
      </c>
    </row>
    <row r="2" spans="1:14" ht="73.5" customHeight="1">
      <c r="A2" s="21" t="s">
        <v>76</v>
      </c>
      <c r="B2" s="20">
        <v>0.75</v>
      </c>
      <c r="C2" s="6">
        <f>$C$4*B2</f>
        <v>5.25</v>
      </c>
      <c r="D2" s="15" t="s">
        <v>48</v>
      </c>
      <c r="E2" s="16" t="s">
        <v>36</v>
      </c>
      <c r="F2" s="8" t="s">
        <v>77</v>
      </c>
      <c r="G2" s="7" t="s">
        <v>90</v>
      </c>
      <c r="H2" s="5"/>
      <c r="J2" s="6" t="s">
        <v>3</v>
      </c>
      <c r="K2" s="6">
        <v>25</v>
      </c>
      <c r="L2" s="6" t="s">
        <v>4</v>
      </c>
      <c r="N2" s="3" t="s">
        <v>34</v>
      </c>
    </row>
    <row r="3" spans="1:14" ht="70.5" customHeight="1">
      <c r="A3" s="21" t="s">
        <v>79</v>
      </c>
      <c r="B3" s="20">
        <v>0.25</v>
      </c>
      <c r="C3" s="6">
        <f>$C$4*B3</f>
        <v>1.75</v>
      </c>
      <c r="D3" s="8" t="s">
        <v>48</v>
      </c>
      <c r="E3" s="7" t="s">
        <v>30</v>
      </c>
      <c r="F3" s="29" t="s">
        <v>80</v>
      </c>
      <c r="G3" s="7" t="s">
        <v>81</v>
      </c>
      <c r="H3" s="5"/>
      <c r="J3" s="6" t="s">
        <v>5</v>
      </c>
      <c r="K3" s="6">
        <v>29</v>
      </c>
      <c r="L3" s="6" t="s">
        <v>6</v>
      </c>
    </row>
    <row r="4" spans="1:14" ht="70.5" customHeight="1">
      <c r="A4" s="35" t="s">
        <v>19</v>
      </c>
      <c r="B4" s="37">
        <f>SUM(B2:B3)</f>
        <v>1</v>
      </c>
      <c r="C4" s="35">
        <v>7</v>
      </c>
      <c r="D4" s="35"/>
      <c r="E4" s="35"/>
      <c r="F4" s="35"/>
      <c r="G4" s="35"/>
      <c r="H4" s="35" t="s">
        <v>39</v>
      </c>
      <c r="J4" s="6" t="s">
        <v>7</v>
      </c>
      <c r="K4" s="6">
        <v>82</v>
      </c>
      <c r="L4" s="6" t="s">
        <v>40</v>
      </c>
    </row>
    <row r="5" spans="1:14" ht="54.75" customHeight="1">
      <c r="A5" s="21"/>
      <c r="B5" s="20"/>
      <c r="C5" s="17"/>
      <c r="D5" s="7"/>
      <c r="E5" s="7"/>
      <c r="F5" s="7"/>
      <c r="G5" s="7"/>
      <c r="H5" s="5"/>
      <c r="J5" s="6" t="s">
        <v>9</v>
      </c>
      <c r="K5" s="6">
        <v>31</v>
      </c>
      <c r="L5" s="6" t="s">
        <v>10</v>
      </c>
    </row>
    <row r="6" spans="1:14" ht="70.5" customHeight="1">
      <c r="A6" s="3"/>
      <c r="B6" s="3"/>
      <c r="C6" s="3"/>
      <c r="D6" s="3"/>
      <c r="E6" s="3"/>
      <c r="F6" s="3"/>
      <c r="J6" s="13" t="s">
        <v>11</v>
      </c>
      <c r="K6" s="13">
        <v>4</v>
      </c>
      <c r="L6" s="13" t="s">
        <v>12</v>
      </c>
    </row>
    <row r="7" spans="1:14" ht="72.75" customHeight="1">
      <c r="A7" s="3"/>
      <c r="B7" s="3"/>
      <c r="C7" s="3"/>
      <c r="D7" s="3"/>
      <c r="E7" s="3"/>
      <c r="F7" s="3"/>
      <c r="J7" s="13" t="s">
        <v>13</v>
      </c>
      <c r="K7" s="13">
        <v>5</v>
      </c>
      <c r="L7" s="13" t="s">
        <v>14</v>
      </c>
    </row>
    <row r="8" spans="1:14" ht="72.75" customHeight="1">
      <c r="A8" s="3"/>
      <c r="B8" s="3"/>
      <c r="C8" s="3"/>
      <c r="D8" s="3"/>
      <c r="E8" s="3"/>
      <c r="F8" s="3"/>
      <c r="J8" s="18" t="s">
        <v>15</v>
      </c>
      <c r="K8" s="18">
        <v>11</v>
      </c>
      <c r="L8" s="18" t="s">
        <v>16</v>
      </c>
    </row>
    <row r="9" spans="1:14" ht="75" customHeight="1">
      <c r="A9" s="3"/>
      <c r="B9" s="3"/>
      <c r="C9" s="3"/>
      <c r="D9" s="3"/>
      <c r="E9" s="3"/>
      <c r="F9" s="3"/>
      <c r="J9" s="12" t="s">
        <v>17</v>
      </c>
      <c r="K9" s="12">
        <v>7</v>
      </c>
      <c r="L9" s="6" t="s">
        <v>18</v>
      </c>
    </row>
    <row r="10" spans="1:14" ht="50" customHeight="1">
      <c r="A10" s="3"/>
      <c r="B10" s="3"/>
      <c r="C10" s="3"/>
      <c r="D10" s="3"/>
      <c r="E10" s="3"/>
      <c r="F10" s="3"/>
      <c r="J10" s="34" t="s">
        <v>19</v>
      </c>
      <c r="K10" s="34">
        <f>SUM(K2:K9)</f>
        <v>194</v>
      </c>
      <c r="L10" s="2"/>
      <c r="M10" s="32"/>
    </row>
    <row r="11" spans="1:14" ht="50" customHeight="1">
      <c r="A11" s="3"/>
      <c r="B11" s="3"/>
      <c r="C11" s="3"/>
      <c r="D11" s="3"/>
      <c r="E11" s="3"/>
      <c r="F11" s="3"/>
      <c r="J11" s="33"/>
      <c r="K11" s="33"/>
      <c r="L11" s="33"/>
      <c r="M11" s="32"/>
    </row>
    <row r="12" spans="1:14" ht="28.5" customHeight="1">
      <c r="A12" s="3"/>
      <c r="B12" s="3"/>
      <c r="C12" s="3"/>
      <c r="D12" s="3"/>
      <c r="E12" s="3"/>
      <c r="F12" s="3"/>
      <c r="J12" s="33"/>
      <c r="K12" s="33"/>
      <c r="L12" s="33"/>
      <c r="M12" s="32"/>
    </row>
    <row r="13" spans="1:14" ht="50" customHeight="1">
      <c r="A13" s="3"/>
      <c r="B13" s="3"/>
      <c r="C13" s="3"/>
      <c r="D13" s="3"/>
      <c r="E13" s="3"/>
      <c r="F13" s="3"/>
      <c r="K13" s="3"/>
      <c r="M13" s="32"/>
    </row>
    <row r="14" spans="1:14" ht="60.75" customHeight="1">
      <c r="A14" s="3"/>
      <c r="B14" s="3"/>
      <c r="C14" s="3"/>
      <c r="D14" s="3"/>
      <c r="E14" s="3"/>
      <c r="F14" s="3"/>
      <c r="K14" s="3"/>
    </row>
    <row r="15" spans="1:14">
      <c r="A15" s="3"/>
      <c r="B15" s="3"/>
      <c r="C15" s="3"/>
      <c r="D15" s="3"/>
      <c r="E15" s="3"/>
      <c r="F15" s="3"/>
      <c r="J15" s="33"/>
      <c r="K15" s="33"/>
      <c r="L15" s="33"/>
    </row>
    <row r="16" spans="1:14" ht="131.5" customHeight="1">
      <c r="A16" s="3"/>
      <c r="B16" s="3"/>
      <c r="C16" s="3"/>
      <c r="D16" s="3"/>
      <c r="E16" s="3"/>
      <c r="F16" s="3"/>
    </row>
    <row r="17" spans="1:6" ht="50" customHeight="1">
      <c r="A17" s="3"/>
      <c r="B17" s="3"/>
      <c r="C17" s="3"/>
      <c r="D17" s="3"/>
      <c r="E17" s="3"/>
      <c r="F17" s="3"/>
    </row>
    <row r="18" spans="1:6" ht="50" customHeight="1">
      <c r="A18" s="3"/>
      <c r="B18" s="3"/>
      <c r="C18" s="3"/>
      <c r="D18" s="3"/>
      <c r="E18" s="3"/>
      <c r="F18" s="3"/>
    </row>
    <row r="19" spans="1:6" ht="35.25" customHeight="1"/>
    <row r="20" spans="1:6" ht="50" customHeight="1"/>
    <row r="21" spans="1:6" ht="50" customHeight="1"/>
    <row r="22" spans="1:6" ht="50" customHeight="1"/>
    <row r="23" spans="1:6" ht="36.75" customHeight="1"/>
    <row r="24" spans="1:6" ht="66.75" customHeight="1"/>
    <row r="25" spans="1:6" ht="50" customHeight="1"/>
    <row r="26" spans="1:6" ht="50" customHeight="1"/>
    <row r="27" spans="1:6" ht="50" customHeight="1"/>
    <row r="28" spans="1:6" ht="48" customHeight="1"/>
    <row r="29" spans="1:6" ht="50" customHeight="1"/>
    <row r="30" spans="1:6" ht="50" customHeight="1"/>
    <row r="31" spans="1:6" ht="62.25" customHeight="1"/>
    <row r="32" spans="1:6" ht="50" customHeight="1"/>
    <row r="33" ht="50" customHeight="1"/>
    <row r="34" ht="50.25" customHeight="1"/>
    <row r="35" ht="50" customHeight="1"/>
    <row r="36" ht="50" customHeight="1"/>
    <row r="37" ht="50" customHeight="1"/>
    <row r="38" ht="39" customHeight="1"/>
    <row r="39" ht="50" customHeight="1"/>
    <row r="40" ht="50" customHeight="1"/>
    <row r="41" ht="50" customHeight="1"/>
    <row r="42" ht="50" customHeight="1"/>
    <row r="43" ht="50" customHeight="1"/>
    <row r="44" ht="40.25" customHeight="1"/>
    <row r="45" ht="40.25" customHeight="1"/>
    <row r="46" ht="40.25" customHeight="1"/>
    <row r="47" ht="40.25" customHeight="1"/>
    <row r="48" ht="40.25" customHeight="1"/>
    <row r="49" ht="40.25" customHeight="1"/>
  </sheetData>
  <autoFilter ref="A1:M1" xr:uid="{7A108514-8B29-4890-A5D5-C6B422268DB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604ad59-e963-4310-8574-13f5eb50b5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356F22EB19E40B05B0E62E3C1179B" ma:contentTypeVersion="15" ma:contentTypeDescription="Create a new document." ma:contentTypeScope="" ma:versionID="a81e4cb1d2e1bdc71d9d547fda8c957f">
  <xsd:schema xmlns:xsd="http://www.w3.org/2001/XMLSchema" xmlns:xs="http://www.w3.org/2001/XMLSchema" xmlns:p="http://schemas.microsoft.com/office/2006/metadata/properties" xmlns:ns1="http://schemas.microsoft.com/sharepoint/v3" xmlns:ns2="6604ad59-e963-4310-8574-13f5eb50b5fb" xmlns:ns3="fff77ca8-25b3-4918-80a3-cc82c422718d" targetNamespace="http://schemas.microsoft.com/office/2006/metadata/properties" ma:root="true" ma:fieldsID="d7138df3638399aedb07a12beaf3524b" ns1:_="" ns2:_="" ns3:_="">
    <xsd:import namespace="http://schemas.microsoft.com/sharepoint/v3"/>
    <xsd:import namespace="6604ad59-e963-4310-8574-13f5eb50b5fb"/>
    <xsd:import namespace="fff77ca8-25b3-4918-80a3-cc82c4227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4ad59-e963-4310-8574-13f5eb50b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a93e6a-eb94-4f22-847d-80c377548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77ca8-25b3-4918-80a3-cc82c4227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9BAFB-577F-4E90-80D0-E540C12002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2C019B-3F8F-499B-8799-1AC4E12BBD3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0E82C28-7F59-4B30-B145-5B6AEA27E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Legal Role Type</vt:lpstr>
      <vt:lpstr>Customer Success</vt:lpstr>
      <vt:lpstr>Solutions Engg</vt:lpstr>
      <vt:lpstr>Cust Education</vt:lpstr>
      <vt:lpstr>Strategy</vt:lpstr>
      <vt:lpstr>Trials</vt:lpstr>
      <vt:lpstr>Gen Manager</vt:lpstr>
      <vt:lpstr>Exec Asst</vt:lpstr>
      <vt:lpstr>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Samson, Richie M. (Operations &amp; Technology)</dc:creator>
  <cp:keywords/>
  <dc:description/>
  <cp:lastModifiedBy>Samson, Richie M. (Operations &amp; Technology)</cp:lastModifiedBy>
  <cp:revision/>
  <dcterms:created xsi:type="dcterms:W3CDTF">2025-06-02T04:57:39Z</dcterms:created>
  <dcterms:modified xsi:type="dcterms:W3CDTF">2025-10-23T07:17:21Z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0x010100B77356F22EB19E40B05B0E62E3C1179B</vt:lpwstr>
  </property>
  <property fmtid="{D5CDD505-2E9C-101B-9397-08002B2CF9AE}" pid="3" name="MediaServiceImageTags">
    <vt:lpwstr/>
  </property>
</Properties>
</file>