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richiemarwinsamson/Downloads/"/>
    </mc:Choice>
  </mc:AlternateContent>
  <xr:revisionPtr revIDLastSave="0" documentId="13_ncr:1_{F2F0FF9B-BB8A-BE47-AEE0-459DB7925B88}" xr6:coauthVersionLast="47" xr6:coauthVersionMax="47" xr10:uidLastSave="{00000000-0000-0000-0000-000000000000}"/>
  <bookViews>
    <workbookView xWindow="0" yWindow="600" windowWidth="29920" windowHeight="17060" tabRatio="753" xr2:uid="{73439CD3-A02F-0C40-95DD-86A4C1C86C3F}"/>
  </bookViews>
  <sheets>
    <sheet name="Summary" sheetId="30" r:id="rId1"/>
    <sheet name="Demand Generation" sheetId="17" r:id="rId2"/>
    <sheet name="Product Marketing" sheetId="18" r:id="rId3"/>
    <sheet name="TRI" sheetId="27" r:id="rId4"/>
    <sheet name="Events" sheetId="26" r:id="rId5"/>
    <sheet name="Ops &amp; Analytics" sheetId="25" r:id="rId6"/>
    <sheet name="LATAM" sheetId="22" r:id="rId7"/>
    <sheet name="Digital Marketing" sheetId="21" r:id="rId8"/>
    <sheet name="Creative-Design" sheetId="24" r:id="rId9"/>
    <sheet name="AEM" sheetId="23" r:id="rId10"/>
    <sheet name="BDR" sheetId="20" r:id="rId11"/>
    <sheet name="Partner Marketing" sheetId="19" r:id="rId12"/>
  </sheets>
  <definedNames>
    <definedName name="_xlnm._FilterDatabase" localSheetId="3" hidden="1">TRI!$A$1:$N$1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22" l="1"/>
  <c r="M9" i="27" l="1"/>
  <c r="C15" i="21" l="1"/>
  <c r="C17" i="21"/>
  <c r="C2" i="21"/>
  <c r="C3" i="21"/>
  <c r="C4" i="21"/>
  <c r="C5" i="21"/>
  <c r="C6" i="21"/>
  <c r="C7" i="21"/>
  <c r="C8" i="21"/>
  <c r="C9" i="21"/>
  <c r="C10" i="21"/>
  <c r="C11" i="21"/>
  <c r="C12" i="21"/>
  <c r="C13" i="21"/>
  <c r="C14" i="21"/>
  <c r="C16" i="21"/>
  <c r="L16" i="21"/>
  <c r="M16" i="21"/>
  <c r="C18" i="21"/>
  <c r="C19" i="21"/>
  <c r="B11" i="27"/>
  <c r="L8" i="18"/>
  <c r="L7" i="19"/>
  <c r="C11" i="18"/>
  <c r="C10" i="18"/>
  <c r="C9" i="18"/>
  <c r="M10" i="26"/>
  <c r="L10" i="26"/>
  <c r="C22" i="21" l="1"/>
  <c r="C3" i="18"/>
  <c r="C4" i="18"/>
  <c r="C5" i="18"/>
  <c r="C6" i="18"/>
  <c r="C2" i="18"/>
  <c r="C14" i="18" l="1"/>
  <c r="C2" i="25"/>
  <c r="B2" i="25" s="1"/>
  <c r="L2" i="25"/>
  <c r="M2" i="25"/>
  <c r="C3" i="25"/>
  <c r="B3" i="25" s="1"/>
  <c r="B4" i="25"/>
  <c r="C4" i="25"/>
  <c r="L4" i="25"/>
  <c r="M4" i="25"/>
  <c r="C5" i="25"/>
  <c r="B5" i="25" s="1"/>
  <c r="L5" i="25"/>
  <c r="M5" i="25"/>
  <c r="L6" i="25"/>
  <c r="L12" i="25" s="1"/>
  <c r="N12" i="25" s="1"/>
  <c r="M6" i="25"/>
  <c r="C7" i="25"/>
  <c r="B7" i="25" s="1"/>
  <c r="L8" i="25"/>
  <c r="M8" i="25"/>
  <c r="C9" i="25"/>
  <c r="B9" i="25" s="1"/>
  <c r="C10" i="25"/>
  <c r="B10" i="25" s="1"/>
  <c r="C11" i="25"/>
  <c r="B11" i="25" s="1"/>
  <c r="M12" i="25"/>
  <c r="B13" i="25" s="1"/>
  <c r="C14" i="25"/>
  <c r="B14" i="25" s="1"/>
  <c r="C15" i="25"/>
  <c r="B15" i="25" s="1"/>
  <c r="C16" i="25"/>
  <c r="B16" i="25" s="1"/>
  <c r="C18" i="25"/>
  <c r="B18" i="25" s="1"/>
  <c r="B6" i="25" l="1"/>
  <c r="B12" i="25"/>
  <c r="C19" i="25"/>
  <c r="B17" i="25"/>
  <c r="B8" i="25"/>
  <c r="C11" i="27" l="1"/>
  <c r="L9" i="27"/>
  <c r="C3" i="24" l="1"/>
  <c r="C4" i="24"/>
  <c r="C5" i="24"/>
  <c r="C6" i="24"/>
  <c r="C7" i="24"/>
  <c r="C8" i="24"/>
  <c r="C9" i="24"/>
  <c r="C2" i="24"/>
  <c r="M10" i="24" l="1"/>
  <c r="L10" i="24"/>
  <c r="B2" i="20" l="1"/>
  <c r="B4" i="20"/>
  <c r="M17" i="20"/>
  <c r="B10" i="26" l="1"/>
  <c r="C9" i="17"/>
  <c r="C14" i="17"/>
  <c r="C13" i="17"/>
  <c r="C12" i="17"/>
  <c r="C11" i="17"/>
  <c r="C10" i="17"/>
  <c r="C8" i="17"/>
  <c r="C7" i="17"/>
  <c r="C4" i="17"/>
  <c r="C6" i="17"/>
  <c r="C5" i="17"/>
  <c r="C3" i="17"/>
  <c r="C2" i="17"/>
  <c r="C4" i="19" l="1"/>
  <c r="C10" i="19"/>
  <c r="C10" i="26"/>
  <c r="L17" i="20" l="1"/>
  <c r="M11" i="17" l="1"/>
  <c r="L11" i="17"/>
  <c r="C15" i="23"/>
  <c r="C17" i="20"/>
  <c r="B13" i="20" s="1"/>
  <c r="N17" i="20"/>
  <c r="C11" i="24"/>
  <c r="M14" i="23"/>
  <c r="L14" i="23"/>
  <c r="N10" i="21"/>
  <c r="C18" i="17"/>
  <c r="N10" i="24" l="1"/>
  <c r="N11" i="17"/>
  <c r="N14" i="23"/>
  <c r="B12" i="20"/>
  <c r="B11" i="20"/>
  <c r="B10" i="20"/>
  <c r="B9" i="20"/>
  <c r="B8" i="20"/>
  <c r="B7" i="20"/>
  <c r="B6" i="20"/>
  <c r="B5" i="20"/>
  <c r="B3" i="20"/>
  <c r="B17" i="20"/>
  <c r="B16" i="20"/>
  <c r="B15" i="20"/>
  <c r="B14"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tc={6DA8EA63-4E09-4F47-BA91-A9E43E03FCBD}</author>
  </authors>
  <commentList>
    <comment ref="D4" authorId="0" shapeId="0" xr:uid="{6DA8EA63-4E09-4F47-BA91-A9E43E03FCBD}">
      <text>
        <t>[Threaded comment]
Your version of Excel allows you to read this threaded comment; however, any edits to it will get removed if the file is opened in a newer version of Excel. Learn more: https://go.microsoft.com/fwlink/?linkid=870924
Comment:
    Personal AI or Treasure Data AI agent? Description says Persona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tc={167D13D1-F2FE-7240-A643-EE7D04C8A73F}</author>
    <author>tc={580B0158-1E61-4631-AD9B-1E282A6F2AEC}</author>
  </authors>
  <commentList>
    <comment ref="A7" authorId="0" shapeId="0" xr:uid="{167D13D1-F2FE-7240-A643-EE7D04C8A73F}">
      <text>
        <t>[Threaded comment]
Your version of Excel allows you to read this threaded comment; however, any edits to it will get removed if the file is opened in a newer version of Excel. Learn more: https://go.microsoft.com/fwlink/?linkid=870924
Comment:
    make sure this is clearly differentiated from project/ops and from go-to-market planning</t>
      </text>
    </comment>
    <comment ref="B8" authorId="1" shapeId="0" xr:uid="{580B0158-1E61-4631-AD9B-1E282A6F2AEC}">
      <text>
        <t>[Threaded comment]
Your version of Excel allows you to read this threaded comment; however, any edits to it will get removed if the file is opened in a newer version of Excel. Learn more: https://go.microsoft.com/fwlink/?linkid=870924
Comment:
    @Huang, Brian W. (TR Marketing) , the Product marketing activities don’t add up to a 100%. Could we please relook at the % time in rows 2-9. Thanks!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Lowes, Kayleigh (TR Institute)</author>
    <author>tc={C018A316-3499-40AA-A675-B4C12DDD9975}</author>
  </authors>
  <commentList>
    <comment ref="D1" authorId="0" shapeId="0" xr:uid="{0FC034A9-B6A4-41F3-B485-0F2363E4DECD}">
      <text>
        <r>
          <rPr>
            <b/>
            <sz val="9"/>
            <color indexed="81"/>
            <rFont val="Tahoma"/>
            <family val="2"/>
          </rPr>
          <t>specialized AI solutions</t>
        </r>
        <r>
          <rPr>
            <sz val="9"/>
            <color indexed="81"/>
            <rFont val="Tahoma"/>
            <family val="2"/>
          </rPr>
          <t xml:space="preserve">
</t>
        </r>
      </text>
    </comment>
    <comment ref="E1" authorId="0" shapeId="0" xr:uid="{A4F3CF5D-EE12-4FE3-926C-1559C75FC12D}">
      <text>
        <r>
          <rPr>
            <b/>
            <sz val="9"/>
            <color indexed="81"/>
            <rFont val="Tahoma"/>
            <family val="2"/>
          </rPr>
          <t>broad, flexible AI platforms</t>
        </r>
        <r>
          <rPr>
            <sz val="9"/>
            <color indexed="81"/>
            <rFont val="Tahoma"/>
            <family val="2"/>
          </rPr>
          <t xml:space="preserve">
</t>
        </r>
      </text>
    </comment>
    <comment ref="O7" authorId="1" shapeId="0" xr:uid="{C018A316-3499-40AA-A675-B4C12DDD9975}">
      <text>
        <t>[Threaded comment]
Your version of Excel allows you to read this threaded comment; however, any edits to it will get removed if the file is opened in a newer version of Excel. Learn more: https://go.microsoft.com/fwlink/?linkid=870924
Comment:
    Thanks - updated!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tc={D46A63E3-5BF2-4616-B43F-9A9E628ADF4F}</author>
  </authors>
  <commentList>
    <comment ref="C2" authorId="0" shapeId="0" xr:uid="{D46A63E3-5BF2-4616-B43F-9A9E628ADF4F}">
      <text>
        <t>[Threaded comment]
Your version of Excel allows you to read this threaded comment; however, any edits to it will get removed if the file is opened in a newer version of Excel. Learn more: https://go.microsoft.com/fwlink/?linkid=870924
Comment:
    @Sellnow, Annette (TR Marketing) , could you include the time spent by the 8 FTE on the activity as well please. Same for the other cells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tc={63549570-A70C-485A-86BD-9AC9B7108EFD}</author>
  </authors>
  <commentList>
    <comment ref="A17" authorId="0" shapeId="0" xr:uid="{63549570-A70C-485A-86BD-9AC9B7108EFD}">
      <text>
        <t xml:space="preserve">[Threaded comment]
Your version of Excel allows you to read this threaded comment; however, any edits to it will get removed if the file is opened in a newer version of Excel. Learn more: https://go.microsoft.com/fwlink/?linkid=870924
Comment:
    @Sampaio Oliveira, Mariana (TR Marketing) , could you please add some description to this step. Thanks!
Reply:
    @Yerubandi, Sai Teja (Operations &amp; Technology) , done. I think it was a copying and paste issue.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tc={2D8417D4-99DC-5649-B535-13BBB32A09E0}</author>
    <author>tc={F8B8D18D-4280-D142-9356-716050F35C51}</author>
  </authors>
  <commentList>
    <comment ref="A2" authorId="0" shapeId="0" xr:uid="{2D8417D4-99DC-5649-B535-13BBB32A09E0}">
      <text>
        <t>[Threaded comment]
Your version of Excel allows you to read this threaded comment; however, any edits to it will get removed if the file is opened in a newer version of Excel. Learn more: https://go.microsoft.com/fwlink/?linkid=870924
Comment:
    @FLECKNER, JENNIFER (TR Marketing) - This is what we will be working on tomorrow</t>
      </text>
    </comment>
    <comment ref="L5" authorId="1" shapeId="0" xr:uid="{F8B8D18D-4280-D142-9356-716050F35C51}">
      <text>
        <t xml:space="preserve">[Threaded comment]
Your version of Excel allows you to read this threaded comment; however, any edits to it will get removed if the file is opened in a newer version of Excel. Learn more: https://go.microsoft.com/fwlink/?linkid=870924
Comment:
    Need to add Saritha team to 5 for Alex
Reply:
    	Linda Bowen, Mary Nelson, Netra Gillard, Laura Newland, Long John Tran, Helly Panchal
Reply:
    @Katkam, Saritha (TR Marketing) - How many would I add from your team
Reply:
    Alice Katuri ,Allam Chandan Reddy, Madhavi Bhukya- 3 PCs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tc={CE514506-7A43-4FB4-8D71-E542209ECEF3}</author>
    <author>tc={186A732E-535B-4C96-9CB8-03238DB5687A}</author>
  </authors>
  <commentList>
    <comment ref="K1" authorId="0" shapeId="0" xr:uid="{CE514506-7A43-4FB4-8D71-E542209ECEF3}">
      <text>
        <t>[Threaded comment]
Your version of Excel allows you to read this threaded comment; however, any edits to it will get removed if the file is opened in a newer version of Excel. Learn more: https://go.microsoft.com/fwlink/?linkid=870924
Comment:
    @Jones, Krista (TR People) , do you have the role break up here please?</t>
      </text>
    </comment>
    <comment ref="G8" authorId="1" shapeId="0" xr:uid="{186A732E-535B-4C96-9CB8-03238DB5687A}">
      <text>
        <t xml:space="preserve">[Threaded comment]
Your version of Excel allows you to read this threaded comment; however, any edits to it will get removed if the file is opened in a newer version of Excel. Learn more: https://go.microsoft.com/fwlink/?linkid=870924
Comment:
    @Walker, Lexie (TR Marketing) , could we add the use cases for rows 8-11 as well please. Thanks! </t>
      </text>
    </comment>
  </commentList>
</comments>
</file>

<file path=xl/sharedStrings.xml><?xml version="1.0" encoding="utf-8"?>
<sst xmlns="http://schemas.openxmlformats.org/spreadsheetml/2006/main" count="1172" uniqueCount="710">
  <si>
    <t>Activity</t>
  </si>
  <si>
    <t>Estimated % of Time Spent</t>
  </si>
  <si>
    <t>FTE</t>
  </si>
  <si>
    <t>Functional AI Tools (Applicable)</t>
  </si>
  <si>
    <t>Generic AI Assistants (Applicable)</t>
  </si>
  <si>
    <t>Notes</t>
  </si>
  <si>
    <t>Role Type 
(Employees Only)</t>
  </si>
  <si>
    <t>HC</t>
  </si>
  <si>
    <t xml:space="preserve">Roles in Scope </t>
  </si>
  <si>
    <t>TR Open Arena</t>
  </si>
  <si>
    <t>TR Open Arena
M365 Copilot</t>
  </si>
  <si>
    <t>Total</t>
  </si>
  <si>
    <t>No</t>
  </si>
  <si>
    <t>Meetings &amp; Collaboration</t>
  </si>
  <si>
    <t>~100%</t>
  </si>
  <si>
    <t>(Estimates are ranges and averages)</t>
  </si>
  <si>
    <t>Note</t>
  </si>
  <si>
    <t>Existing AI Use Cases
(List out the activities the existing AI tools are being used for here)</t>
  </si>
  <si>
    <t>Proposed Use Cases
(AI use cases identified but not deployed, wishlist)</t>
  </si>
  <si>
    <t>POC</t>
  </si>
  <si>
    <t>Persona AI assistant</t>
  </si>
  <si>
    <t>no</t>
  </si>
  <si>
    <t>Campaign Planner</t>
  </si>
  <si>
    <t>Lisa Schmidt</t>
  </si>
  <si>
    <r>
      <rPr>
        <b/>
        <sz val="10"/>
        <color theme="1"/>
        <rFont val="Clario Regular"/>
      </rPr>
      <t>Campaign Planning</t>
    </r>
    <r>
      <rPr>
        <sz val="10"/>
        <color theme="1"/>
        <rFont val="Clario Regular"/>
      </rPr>
      <t xml:space="preserve"> - budget management and forecasting</t>
    </r>
  </si>
  <si>
    <t>Campaign Activation</t>
  </si>
  <si>
    <t>Ralff Tozzati</t>
  </si>
  <si>
    <r>
      <rPr>
        <b/>
        <sz val="10"/>
        <color theme="1"/>
        <rFont val="Clario Regular"/>
      </rPr>
      <t>Campaign Planning / Activation</t>
    </r>
    <r>
      <rPr>
        <sz val="10"/>
        <color theme="1"/>
        <rFont val="Clario Regular"/>
      </rPr>
      <t xml:space="preserve"> - campaign performance analysis and optimization</t>
    </r>
  </si>
  <si>
    <t>Treasure Data AI Agent</t>
  </si>
  <si>
    <t>Content Creation/Mgmt</t>
  </si>
  <si>
    <t>Melinda Chan</t>
  </si>
  <si>
    <r>
      <rPr>
        <b/>
        <sz val="10"/>
        <color theme="1"/>
        <rFont val="Clario Regular"/>
      </rPr>
      <t>Campaign Activation</t>
    </r>
    <r>
      <rPr>
        <sz val="10"/>
        <color theme="1"/>
        <rFont val="Clario Regular"/>
      </rPr>
      <t xml:space="preserve"> - tactical builds, coordination and project management</t>
    </r>
  </si>
  <si>
    <t>Marketing Strategy</t>
  </si>
  <si>
    <r>
      <rPr>
        <b/>
        <sz val="10"/>
        <color theme="1"/>
        <rFont val="Clario Regular"/>
      </rPr>
      <t>Campaign Activation</t>
    </r>
    <r>
      <rPr>
        <sz val="10"/>
        <color theme="1"/>
        <rFont val="Clario Regular"/>
      </rPr>
      <t xml:space="preserve"> - promotional communications builds (email, social, landing pages)</t>
    </r>
  </si>
  <si>
    <t>OpenArena, Persona AI assistant</t>
  </si>
  <si>
    <t>Field/ABM/Events</t>
  </si>
  <si>
    <t>Treasure Data AI Agent, D&amp;B, 6Sense</t>
  </si>
  <si>
    <r>
      <rPr>
        <b/>
        <sz val="10"/>
        <color theme="1"/>
        <rFont val="Clario Regular"/>
      </rPr>
      <t>Marketing Strategy</t>
    </r>
    <r>
      <rPr>
        <sz val="10"/>
        <color theme="1"/>
        <rFont val="Clario Regular"/>
      </rPr>
      <t xml:space="preserve"> - GM, Product Marketing, Sales alignment / partnership</t>
    </r>
  </si>
  <si>
    <t>Project Management</t>
  </si>
  <si>
    <r>
      <rPr>
        <b/>
        <sz val="10"/>
        <color theme="1"/>
        <rFont val="Clario Regular"/>
      </rPr>
      <t>Field/ABM/Events</t>
    </r>
    <r>
      <rPr>
        <sz val="10"/>
        <color theme="1"/>
        <rFont val="Clario Regular"/>
      </rPr>
      <t xml:space="preserve"> - planning and execution, coordination with Sales</t>
    </r>
  </si>
  <si>
    <t>Non Specific Role Type
(acquisition not integrated)</t>
  </si>
  <si>
    <r>
      <rPr>
        <b/>
        <sz val="10"/>
        <color theme="1"/>
        <rFont val="Clario Regular"/>
      </rPr>
      <t>Field/ABM/Events</t>
    </r>
    <r>
      <rPr>
        <sz val="10"/>
        <color theme="1"/>
        <rFont val="Clario Regular"/>
      </rPr>
      <t xml:space="preserve"> - budget management and forecasting</t>
    </r>
  </si>
  <si>
    <r>
      <rPr>
        <b/>
        <sz val="10"/>
        <color theme="1"/>
        <rFont val="Clario Regular"/>
      </rPr>
      <t>Field/ABM/Events</t>
    </r>
    <r>
      <rPr>
        <sz val="10"/>
        <color theme="1"/>
        <rFont val="Clario Regular"/>
      </rPr>
      <t xml:space="preserve"> - programming performance analysis and optimization</t>
    </r>
  </si>
  <si>
    <t xml:space="preserve">OpenArena </t>
  </si>
  <si>
    <t>Content Creation &amp; Asset Management</t>
  </si>
  <si>
    <t>Product Marketing</t>
  </si>
  <si>
    <t>Ali Bohra</t>
  </si>
  <si>
    <t>Channel Enablement</t>
  </si>
  <si>
    <t>Analytics</t>
  </si>
  <si>
    <t>Market Insights &amp; Research</t>
  </si>
  <si>
    <t>Project/Program Management</t>
  </si>
  <si>
    <t>Kayleigh Lowes</t>
  </si>
  <si>
    <t>Open Arena</t>
  </si>
  <si>
    <t>Mike Abbott</t>
  </si>
  <si>
    <t>Events</t>
  </si>
  <si>
    <t>Content Strategy</t>
  </si>
  <si>
    <t>Doesn't include leadership team (KL)</t>
  </si>
  <si>
    <t>Open Arena, Copilot</t>
  </si>
  <si>
    <t>Askia/Codeit</t>
  </si>
  <si>
    <t>Event Planning &amp; Coordination</t>
  </si>
  <si>
    <t>ElevenLabs</t>
  </si>
  <si>
    <t>Lori Finney</t>
  </si>
  <si>
    <t>Beatriz Oliveira</t>
  </si>
  <si>
    <t>Trae Harris</t>
  </si>
  <si>
    <t>Steven Pritt</t>
  </si>
  <si>
    <r>
      <rPr>
        <b/>
        <sz val="10"/>
        <color rgb="FF000000"/>
        <rFont val="Clario Regular"/>
      </rPr>
      <t>(AEM Corporate) Campaign Planning</t>
    </r>
    <r>
      <rPr>
        <sz val="10"/>
        <color rgb="FF000000"/>
        <rFont val="Clario Regular"/>
      </rPr>
      <t xml:space="preserve"> - strategy, buyers journey, channel mix</t>
    </r>
  </si>
  <si>
    <t>Yes</t>
  </si>
  <si>
    <t>AI was used for the research, development, and analysis for the following campaigns Onesource E2E campaign, Trump 2.0, AEM e-Invoicing Campaign</t>
  </si>
  <si>
    <t>Additional funding for Meltwater licenses</t>
  </si>
  <si>
    <t>Campaigns all launched and performance status visable in SFDC</t>
  </si>
  <si>
    <t>Victoria McCafferty</t>
  </si>
  <si>
    <t>Pilot deployed successfully for Q1 planning and forecasting, this is going to deployed more consistently across the Corporate team to enhance and improve forecasting reporting</t>
  </si>
  <si>
    <t>Launch expansion Q4, for 2026 planning</t>
  </si>
  <si>
    <t>Requesting access to SFDC Einstein and Eloqua AI dashboard reporting</t>
  </si>
  <si>
    <r>
      <rPr>
        <b/>
        <sz val="10"/>
        <color rgb="FF000000"/>
        <rFont val="Clario Regular"/>
      </rPr>
      <t>(AEM Corporate &amp; Legal) Campaign Activation</t>
    </r>
    <r>
      <rPr>
        <sz val="10"/>
        <color rgb="FF000000"/>
        <rFont val="Clario Regular"/>
      </rPr>
      <t xml:space="preserve"> - tactical builds, coordination and project management</t>
    </r>
  </si>
  <si>
    <t>Additional funding for Synthesia, Luma Dream Machines licenses</t>
  </si>
  <si>
    <t>Polaris Initiative and AOE</t>
  </si>
  <si>
    <r>
      <rPr>
        <b/>
        <sz val="10"/>
        <color rgb="FF000000"/>
        <rFont val="Clario Regular"/>
      </rPr>
      <t>Marketing Strategy</t>
    </r>
    <r>
      <rPr>
        <sz val="10"/>
        <color rgb="FF000000"/>
        <rFont val="Clario Regular"/>
      </rPr>
      <t xml:space="preserve"> - GTM strategies, whitespace, audience targeting, market research and competitor analysis</t>
    </r>
  </si>
  <si>
    <t>Treasure Data AI Agent, D&amp;B, 6Sense, Meltwater, Bombora</t>
  </si>
  <si>
    <t>Qualify inbound and outbound leads through vetting, calling, and logging activity</t>
  </si>
  <si>
    <t>Genesys AI (pending)</t>
  </si>
  <si>
    <t>Business Development Reps</t>
  </si>
  <si>
    <t>Participate in training and learning sessions, receive coaching</t>
  </si>
  <si>
    <t>Operations</t>
  </si>
  <si>
    <t>Meetings</t>
  </si>
  <si>
    <t>Managers/People Lead</t>
  </si>
  <si>
    <t>Conduct call listening sessions, provide coaching, performance management</t>
  </si>
  <si>
    <t>Leadership/Ppl Management</t>
  </si>
  <si>
    <t>Customer online chat activity</t>
  </si>
  <si>
    <t>Activation</t>
  </si>
  <si>
    <t>Support, configure and optimize BDR workflow tools and platforms, process documentation and training, vendor relations</t>
  </si>
  <si>
    <t>DCA</t>
  </si>
  <si>
    <t>BDR data and reporting</t>
  </si>
  <si>
    <t xml:space="preserve">Marketing to BDR handoff process, customer messaging, COE-driven campaign set up </t>
  </si>
  <si>
    <t>Data enrichment and lead loads</t>
  </si>
  <si>
    <t>Lead guardian, data quality assurance, tracking and investigation</t>
  </si>
  <si>
    <t>Gemini 2.5 Pro (Open Arena)</t>
  </si>
  <si>
    <t>Internal partnership relations with sales and marketing, communications, and feedback</t>
  </si>
  <si>
    <t>Recruiting, hiring and onboarding</t>
  </si>
  <si>
    <t>Tradeshow and event on-site engagement, diligent post-event follow-up</t>
  </si>
  <si>
    <t>18 events x 2 people = 36 days / 234 bus days =  (US)
22 events x 1.5 people = 33 days / 234 bus days (LaTAm)</t>
  </si>
  <si>
    <t>Strategy, capacity planning, forecasting, implementation of initiatives and projects</t>
  </si>
  <si>
    <t>Create third party emails and subject lines, placement with external partners</t>
  </si>
  <si>
    <t>GPT 4 Turbo (Open Arena Chains)</t>
  </si>
  <si>
    <t>CoPilot</t>
  </si>
  <si>
    <t>QAssign (Automation)</t>
  </si>
  <si>
    <t>Eloqua (Automation and programming)</t>
  </si>
  <si>
    <t>1. Partner Marketers</t>
  </si>
  <si>
    <t>Bethany Kinsella</t>
  </si>
  <si>
    <t>2. Solution Marketers</t>
  </si>
  <si>
    <t xml:space="preserve">3. Business &amp; Project Management 
</t>
  </si>
  <si>
    <t>4. Reporting &amp; Analytics</t>
  </si>
  <si>
    <t>Events/Tradeshows (i.e., partner events, customer events)</t>
  </si>
  <si>
    <t>5. Content Marketers</t>
  </si>
  <si>
    <t>Note: Population in scope includes partner, solution, content marketers, reporting &amp; analytics, business &amp; project management = 17 FTE</t>
  </si>
  <si>
    <t xml:space="preserve">Meeting summaries, assigned tasks, </t>
  </si>
  <si>
    <t xml:space="preserve">drafting replies, researching product or industry information during vetting, </t>
  </si>
  <si>
    <t>detecting email sentiment automating reply action (building for Q3)
detecting call sentiment Genesys AI (pending)</t>
  </si>
  <si>
    <t>Outreach Smart Email Assist (active)
Genesys AI (pending)</t>
  </si>
  <si>
    <t>Genesys AI - summarizing and flagging recorded calls</t>
  </si>
  <si>
    <t>Open Arena
CoPilot</t>
  </si>
  <si>
    <t xml:space="preserve">streamline content creation, business definitions and best practices
build automated flows, connect disparate data systems
</t>
  </si>
  <si>
    <t>Salesforce MIAW (pending)</t>
  </si>
  <si>
    <t>Salesforce Messaging for Inapp and Web</t>
  </si>
  <si>
    <t>Auto generate live chat responses, or ask follow up questions during the session</t>
  </si>
  <si>
    <t>inquiries on formulas, data validation, coding logic, producing data summaries</t>
  </si>
  <si>
    <t xml:space="preserve">Open Arena
CoPilot
</t>
  </si>
  <si>
    <t>drafting Outreach customer messaging, product and industry information</t>
  </si>
  <si>
    <t>third party lead loads, AEM marketing support for lead loads, data validation</t>
  </si>
  <si>
    <t>"Lead Enrichment Validator" tracking lead counts and issues</t>
  </si>
  <si>
    <t>emails for third party use cases and partnerships</t>
  </si>
  <si>
    <t>drafting communications, executive summaries, building business cases</t>
  </si>
  <si>
    <t>elevator pitches</t>
  </si>
  <si>
    <t>writing job decriptions, interview questions, onboarding plan</t>
  </si>
  <si>
    <t>Open Arena
CoPilot
PowerAutomate</t>
  </si>
  <si>
    <t>BDRs provide feedback via form process, perfomance summaries</t>
  </si>
  <si>
    <t>Chat prompts and conversation aids</t>
  </si>
  <si>
    <t>Certain: session recommendation tool for all segments; AI: build professional bios for speakers</t>
  </si>
  <si>
    <t>Budget Management</t>
  </si>
  <si>
    <t>Event Analytics/Reporting</t>
  </si>
  <si>
    <t>Vendor &amp; Supplier Management</t>
  </si>
  <si>
    <t>Attendee Registration &amp; Management</t>
  </si>
  <si>
    <t>Forsta: survey summaries; Power BI: dashboards; Smartsheet: summaries; Open Arena: summarize comms</t>
  </si>
  <si>
    <t>Treasure Data AI Agent,</t>
  </si>
  <si>
    <t>WRITER</t>
  </si>
  <si>
    <t>TR Open Arena
M365 Copilot
DG Persona Agent</t>
  </si>
  <si>
    <t>CO-PILOT to translate interviews</t>
  </si>
  <si>
    <t>CO-PILOT to translate interviews &amp; webinars
WRITER to take a recording, recap and build a blog post
WRITER: Create social posts</t>
  </si>
  <si>
    <t>Partner Engagement (i.e., research, partner mtgs, joint planning, joint creation, partner reviews)</t>
  </si>
  <si>
    <t>Partner Mktg Planning &amp; Activation (i.e, GTM, Campaign Planning, Tactical Activation)</t>
  </si>
  <si>
    <t>Partner Marketing Strategy (i.e., Partner Messaging Strategy, Partner Portfolio Management, Annual Plan)</t>
  </si>
  <si>
    <t>Content Asset Creation (i.e., blogs, partner marketing assets - to, with, through)</t>
  </si>
  <si>
    <t>Meetings, Collaboration, Learning &amp; Development</t>
  </si>
  <si>
    <t xml:space="preserve">Operational (ie.,budgeting/spend analysis, project management) </t>
  </si>
  <si>
    <t>Primarily Partner Marketing Solution Marketers</t>
  </si>
  <si>
    <t>Mix of multiple AI tools are important to ensure quality of output is received. 
Primarily Partner Marketing Solution Marketers, Content Marketers, % of Full Stack Partner Marketers</t>
  </si>
  <si>
    <t>Customer/Prospect Management (i.e., list management - partner, enrichment, E2E leads to sales, partner attached/sourced, trouble-shooting)</t>
  </si>
  <si>
    <r>
      <rPr>
        <b/>
        <sz val="10"/>
        <color theme="1"/>
        <rFont val="Clario Regular"/>
      </rPr>
      <t xml:space="preserve">15%: </t>
    </r>
    <r>
      <rPr>
        <sz val="10"/>
        <color theme="1"/>
        <rFont val="Clario Regular"/>
      </rPr>
      <t>Business &amp; Project Management roles</t>
    </r>
  </si>
  <si>
    <t>Reporting &amp; Analytics (i.e. weekly pipeline, campaign, performance analysis, troubleshooting, business reviews)</t>
  </si>
  <si>
    <t>Content Strategist, Strategy &amp; Ops, Director/Manager Partner Marketing</t>
  </si>
  <si>
    <t xml:space="preserve">TR Open Arena
</t>
  </si>
  <si>
    <r>
      <rPr>
        <b/>
        <sz val="10"/>
        <color theme="1"/>
        <rFont val="Clario Regular"/>
      </rPr>
      <t>15% (all team):</t>
    </r>
    <r>
      <rPr>
        <sz val="10"/>
        <color theme="1"/>
        <rFont val="Clario Regular"/>
      </rPr>
      <t xml:space="preserve">  work review meeting,  weekly team meetings, cross-team meetings, 1-on-1s, ad-hoc chats, training/development, talent management (i.e., selection, onboarding, performance mgmt) </t>
    </r>
  </si>
  <si>
    <t>Primarily: Partner Marketers (20%)</t>
  </si>
  <si>
    <t>10% of Partner Marketers (i.e., meetings/reviews with partners)</t>
  </si>
  <si>
    <t>LIMITED; WRITER</t>
  </si>
  <si>
    <t>OpenArena</t>
  </si>
  <si>
    <t>% usage of existing AI tools for activity</t>
  </si>
  <si>
    <t>Strategy and CP/Act leaders to validate</t>
  </si>
  <si>
    <t xml:space="preserve">AI Persona Assistant used to advise on campaign set up, provide campaign plan evaluations, advise on mix. </t>
  </si>
  <si>
    <t xml:space="preserve">Working to move this into MPRM next Gen for more automated, connected workflows. </t>
  </si>
  <si>
    <t>Adobe AI capabilities to further automate the campaign planning, buyers journey and most optimal channel mix/spend to desired personas</t>
  </si>
  <si>
    <t>AI generated campaign analysis and performance / optimization summaries inclusive of ROI by activity to dictate ongoing forecasting at granular level</t>
  </si>
  <si>
    <t xml:space="preserve">AI Persona Assistant used to provide campaign plan evaluations and recommendations </t>
  </si>
  <si>
    <t xml:space="preserve">Working to move this into MPRM next Gen for more automated, connected workflows and AI enhanced project mgmt </t>
  </si>
  <si>
    <t>AI Persona Asst used to assist with audience insights and a starting point for topical theme development</t>
  </si>
  <si>
    <t>AI generated content analysis and performance. Optimization summaries inclusive of content engagement throughout the funnel.</t>
  </si>
  <si>
    <t>AI Persona Asst used to assist with research and blog starting point / creation.  Writer for derivative content mix from long form content + webcasts</t>
  </si>
  <si>
    <t>GitHub Copilot, Claude/GPT-4, Notion AI, Slides AI</t>
  </si>
  <si>
    <t>HC in hire process</t>
  </si>
  <si>
    <t>Open Arean Chain - Automated insight generation, pattern recognition, predictive modeling</t>
  </si>
  <si>
    <t>1- Advanced ML model deployment, real-time anomaly detection, automated hypothesis testing
2- AI-powered storytelling with data, dynamic report personalization by audience</t>
  </si>
  <si>
    <t>1- AI-powered team productivity insights, automated status report generation
2- Real-time project health scoring, predictive milestone achievement analysis</t>
  </si>
  <si>
    <t>1- 	AI assistants for feature ideation, technical documentation, code review planning
2- Code generation, debugging assistance, documentation creation</t>
  </si>
  <si>
    <t>Heavy use of 6sense on ABM programming; testing AI Persona Assistant for event promotional builds</t>
  </si>
  <si>
    <t>AI generated event analysis and performance / optimization summaries inclusive of ROI by event type to dictate ongoing forecasting at granular level</t>
  </si>
  <si>
    <t>AI Persona Assistant helps deliver a 80% starting point on promotional content for marketers</t>
  </si>
  <si>
    <t>Martech mix (ON24, Eloqua, 6sense, Stensul) enabled by AI help streamline and tighten orchestration across the engine</t>
  </si>
  <si>
    <t>Expanding use of ON24 ACE in H2 2025 to assist with webcast derivative content.</t>
  </si>
  <si>
    <t>AI forecasting tool connect with real-time MPRM data and connected to CE/sales forecast to working of same weekly forecast assumptions as sales. And AI recommendation and scoring to push forward most-likely-to-convert as priority; and lower-scoring into dedicated nurture.</t>
  </si>
  <si>
    <t>Outlining use cases for new HC</t>
  </si>
  <si>
    <r>
      <t xml:space="preserve">Marketer </t>
    </r>
    <r>
      <rPr>
        <b/>
        <sz val="10"/>
        <color rgb="FF000000"/>
        <rFont val="Clario Regular"/>
      </rPr>
      <t>(note: blend of roles given acquisition teams not fully embedded)</t>
    </r>
  </si>
  <si>
    <t>Mission (what we do day-to-day)</t>
  </si>
  <si>
    <t>Inform the most consequential decisions with trusted, accessible data and relevant, actionable insights.</t>
  </si>
  <si>
    <t>Provide efficient, error-proof marketing workflows with AI-centric, streamlined solutions.</t>
  </si>
  <si>
    <t>Maintain uninterrupted marketing operations with reliable, scalable systems.</t>
  </si>
  <si>
    <t>Enhance customer experience with robust, data-driven audience management infrastructure &amp; strategy.</t>
  </si>
  <si>
    <t>Enabling behaviors:</t>
  </si>
  <si>
    <t>Cultivate a high-performing, innovative, inclusive team culture.</t>
  </si>
  <si>
    <t>Elevate team perception by providing transparency, accountability, collaboration, and enablement.</t>
  </si>
  <si>
    <t>Betty Wetherell-Gustafson</t>
  </si>
  <si>
    <t>Meeting summaries, assigned tasks, call coaching</t>
  </si>
  <si>
    <t>Performance reviews, call coaching, communications</t>
  </si>
  <si>
    <t>Channel Management (i.e., Advisor, Partner Portal, External Marketplaces, Digital - TR.Com). Publish information &amp; assets across multiple platforms</t>
  </si>
  <si>
    <t>Did not include dotted line resource from Operations &amp; Analytics; 50% of Sr. Business Analyst role; 10% of Partner Marketers. Use case would impact broader Enterprise P&amp;A use cases.</t>
  </si>
  <si>
    <r>
      <t xml:space="preserve">Measure shared impact of partnerships to understand ROI: </t>
    </r>
    <r>
      <rPr>
        <b/>
        <i/>
        <sz val="10"/>
        <color theme="1"/>
        <rFont val="Clario Regular"/>
      </rPr>
      <t>quarq.ai</t>
    </r>
    <r>
      <rPr>
        <sz val="10"/>
        <color theme="1"/>
        <rFont val="Clario Regular"/>
      </rPr>
      <t xml:space="preserve">
Shift beyond reporting to: analytic storytelling</t>
    </r>
  </si>
  <si>
    <t>OpenArena, Copilot</t>
  </si>
  <si>
    <t xml:space="preserve">Monday.com AI, Asana Intelligence, Slack AI, </t>
  </si>
  <si>
    <t>Microsoft Copilot, Power BI AI, Tableau AI</t>
  </si>
  <si>
    <t>Ops &amp; Analytics</t>
  </si>
  <si>
    <t xml:space="preserve">
PowerAutomate</t>
  </si>
  <si>
    <t>6 Sense</t>
  </si>
  <si>
    <t xml:space="preserve">Open Arena (including Chains)
CoPilot
Power Automate
</t>
  </si>
  <si>
    <t>QAssign</t>
  </si>
  <si>
    <t xml:space="preserve">Smartsheet  </t>
  </si>
  <si>
    <t>Smartsheet</t>
  </si>
  <si>
    <t>Communications</t>
  </si>
  <si>
    <t>Customer Center</t>
  </si>
  <si>
    <t>Event Content</t>
  </si>
  <si>
    <t xml:space="preserve"> </t>
  </si>
  <si>
    <t>Agenda/Session/Speaker Development &amp; Management</t>
  </si>
  <si>
    <t>Certain</t>
  </si>
  <si>
    <t>Smartsheet, Teams</t>
  </si>
  <si>
    <t xml:space="preserve">Smartsheet </t>
  </si>
  <si>
    <t>Forsta, Power BI, Smartsheet</t>
  </si>
  <si>
    <t>Certain: registration; Open Arena Chains: inbox management</t>
  </si>
  <si>
    <t>Certain: session recommendation tool for all segments (registration); Touchpoint: session rec tool in development; Braindate: AI-powered topic creation; AI Bio Builder for speakers</t>
  </si>
  <si>
    <t>Smartsheet AI: analyze data, generate summaries, internal use planner boards; Open Arena: summarize trends, meeting notes; Teams: Stakeholder Planner Boards, meeting summaries</t>
  </si>
  <si>
    <t>NA</t>
  </si>
  <si>
    <t>Smartsheet AI: generates formulas and summaries, easy access for finance</t>
  </si>
  <si>
    <t>Smartsheet AI: generates formulas and summaries, easy access for vendors</t>
  </si>
  <si>
    <t>Open Arena Chains: FAQ for event planners, easy access to all resources; CoCounsel: contract review and management</t>
  </si>
  <si>
    <t>Event Planners</t>
  </si>
  <si>
    <t>Operations &amp; Governance</t>
  </si>
  <si>
    <t>Registration</t>
  </si>
  <si>
    <t>Event Marketing</t>
  </si>
  <si>
    <t>Leadership  &amp; People Management</t>
  </si>
  <si>
    <t>Compliance, Risk &amp; Technology Management</t>
  </si>
  <si>
    <t>GMT No Safe Haven Campaign, Trump 2.0 Campaign, Onesource E2E  campaign, Get Stuff Done campaign</t>
  </si>
  <si>
    <r>
      <rPr>
        <b/>
        <sz val="10"/>
        <color rgb="FF000000"/>
        <rFont val="Clario Regular"/>
      </rPr>
      <t>(AEM Corporate &amp; Legal) Campaign Activation</t>
    </r>
    <r>
      <rPr>
        <sz val="10"/>
        <color rgb="FF000000"/>
        <rFont val="Clario Regular"/>
      </rPr>
      <t xml:space="preserve"> - promotional communications builds (email, social, landing pages)</t>
    </r>
  </si>
  <si>
    <r>
      <rPr>
        <b/>
        <sz val="10"/>
        <color rgb="FF000000"/>
        <rFont val="Clario Regular"/>
      </rPr>
      <t>(AEM Corporate) Campaign Planning</t>
    </r>
    <r>
      <rPr>
        <sz val="10"/>
        <color rgb="FF000000"/>
        <rFont val="Clario Regular"/>
      </rPr>
      <t xml:space="preserve"> - Budgeting (Management &amp; Forecast)</t>
    </r>
  </si>
  <si>
    <r>
      <rPr>
        <b/>
        <sz val="10"/>
        <color rgb="FF000000"/>
        <rFont val="Clario Regular"/>
      </rPr>
      <t>(AEM Corporate &amp; Legal) Campaign Planning / Activation</t>
    </r>
    <r>
      <rPr>
        <sz val="10"/>
        <color rgb="FF000000"/>
        <rFont val="Clario Regular"/>
      </rPr>
      <t xml:space="preserve"> - campaign performance analysis and optimization, audience segmentation, dark funnel analysis</t>
    </r>
  </si>
  <si>
    <t>Treasure Data AI Agent, Bombora</t>
  </si>
  <si>
    <t>Deep embedment into the workflow for segmentation management for all campaigns.</t>
  </si>
  <si>
    <t>Embed Bombora intent and Meltwater insights for market research, segment audiences via Treasure AI Data Agent, benchmark competitors through SEMRush, and execute targeted go-to-market initiatives with 6Sense.</t>
  </si>
  <si>
    <r>
      <rPr>
        <b/>
        <sz val="10"/>
        <color rgb="FF000000"/>
        <rFont val="Clario Regular"/>
      </rPr>
      <t>Marketing Strategy</t>
    </r>
    <r>
      <rPr>
        <sz val="10"/>
        <color rgb="FF000000"/>
        <rFont val="Clario Regular"/>
      </rPr>
      <t xml:space="preserve"> - GM, Product Marketing, Sales alignment / partnership</t>
    </r>
  </si>
  <si>
    <t>Role Type
(Employees Only)</t>
  </si>
  <si>
    <t xml:space="preserve">AI Persona Assistant used by Global team to advise on campaign set up, provide campaign plan evaluations, advise on mix. </t>
  </si>
  <si>
    <t>Assessing to implement on LatAm</t>
  </si>
  <si>
    <t>DG: Campaign Planning, Activation and Strategy</t>
  </si>
  <si>
    <t xml:space="preserve">AI generated campaign analysis and performance / optimization summaries inclusive of ROI by activity to dictate ongoing forecasting at granular level. </t>
  </si>
  <si>
    <t xml:space="preserve">MPRM next Gen currently not set for LatAm, Understanding roadmap to implement to get more automated workflows and reports </t>
  </si>
  <si>
    <t xml:space="preserve"> AI Persona used by Global Team to provide campaign plan evaluations and recommendations </t>
  </si>
  <si>
    <t>Studio</t>
  </si>
  <si>
    <t xml:space="preserve">Martech mix (ON24, Eloqua, 6sense, Stensul) enabled by AI help streamline and tighten orchestration across the engine
Campaign Planning AI tool to consider execution SLAs with the end-to-end process and make deliver adjustments. Such as Marketo. </t>
  </si>
  <si>
    <t>Assessing to implement On24, 6sense and Stensul for LatAm. Getting LatAm trained on Eloqua AI</t>
  </si>
  <si>
    <t>Treasure Data AI Agent for more efficient audience targeting</t>
  </si>
  <si>
    <t xml:space="preserve">We currently don't have Treasure Data available for LatAm due to CRM challenges. </t>
  </si>
  <si>
    <t xml:space="preserve">6sense for ABM programming. Test AI persona Assistant for event promotional builds. </t>
  </si>
  <si>
    <t>Digital</t>
  </si>
  <si>
    <t>Certain: SYN session recommendation tool (tested, ready for registration)</t>
  </si>
  <si>
    <t>Adobe Creative Cloud, Clipchamp, Adobe Express</t>
  </si>
  <si>
    <t>Clipchamp for voice over video production, Adobe creative cloud for AI image production. Open Arena for organizing content, summarizing documents and spell checking</t>
  </si>
  <si>
    <t>Writer for derivative content mix from long form content + webcasts</t>
  </si>
  <si>
    <t> </t>
  </si>
  <si>
    <t>Copilot</t>
  </si>
  <si>
    <t>Open Arean &amp; Copilot - Design and validate formulas in Power BI</t>
  </si>
  <si>
    <t>Open Arean Chain - Automated insight generation, pattern recognition, predictive modeling.
 Advanced ML model deployment, real-time anomaly detection, automated hypothesis testing
AI-powered storytelling with data, dynamic report personalization by audience</t>
  </si>
  <si>
    <t>Power BI AI</t>
  </si>
  <si>
    <t>- Leverage AI for power BI to create insights and understand frops or upticks in performance.
- AI forecasting tool connect with performance data and connected to CE/sales forecast to working of same weekly forecast assumptions as sales. And AI recommendation and scoring to push forward most-likely-to-convert as priority; and lower-scoring into dedicated nurture.</t>
  </si>
  <si>
    <t>Open Arena Chain to manage contract renewal, po balance and to check if vendor is registered</t>
  </si>
  <si>
    <t>Power automate using copilot to automate requests workflow for Ops Team</t>
  </si>
  <si>
    <t>MPRM Next Genn to streamline workflow for more automated, connected workflows and AI enhanced budget management tool</t>
  </si>
  <si>
    <t xml:space="preserve">MPRM next Gen currently not set for LatAm, Understanding roadmap to implement. </t>
  </si>
  <si>
    <t>Google Ads AI, AppsFlyer</t>
  </si>
  <si>
    <t>Google Ads - Bidding tool that predicts which clicks are likely to convert (either to leads or QLs) and optimizes our coverage for clicks that are most likely to convert.Ad builder tool that uses headline and copy fragments to build exponential combinations and optimize to best performing ad variations.</t>
  </si>
  <si>
    <t>AppsFlyer - Debuted an AI-driven MCP that uses conversational queries to access marketing data, set goals and run campaigns without technical setup.</t>
  </si>
  <si>
    <t>All</t>
  </si>
  <si>
    <t>Use Copilot to summarize transcripts and add in next steps</t>
  </si>
  <si>
    <t>Project Manager - Project planning &amp; resource allocation, Team coordination &amp; communication, Progress tracking &amp; reporting, and Stakeholder management &amp; meetings</t>
  </si>
  <si>
    <t>Monday.com AI, Asana Intelligence, Slack AI</t>
  </si>
  <si>
    <t>Use project management tools that have AI embedded in it for productivity insights, automated status report generation. Real-time project health scoring, predictive milestone achievement analysis. Examples: Monday.com AI, Asana Intelligence, Slack AI</t>
  </si>
  <si>
    <t>Designers</t>
  </si>
  <si>
    <t>Project Coordinators</t>
  </si>
  <si>
    <t>Copywriters</t>
  </si>
  <si>
    <t>SEO</t>
  </si>
  <si>
    <t>Videographers</t>
  </si>
  <si>
    <t>Organic Social Media</t>
  </si>
  <si>
    <t>Leaders</t>
  </si>
  <si>
    <t>Writer</t>
  </si>
  <si>
    <t>Video Creation/Editing</t>
  </si>
  <si>
    <t>Written Content Creation/Copywriting</t>
  </si>
  <si>
    <t>Creative Design</t>
  </si>
  <si>
    <t>Designing graphics, ads, pdfs, etc.</t>
  </si>
  <si>
    <t xml:space="preserve">Creating and editing of videos </t>
  </si>
  <si>
    <t>Analytics/data</t>
  </si>
  <si>
    <t>Drafting and editing ad copy, written content (e.g., blog posts), social posts</t>
  </si>
  <si>
    <t>Asset management</t>
  </si>
  <si>
    <t>Smart tagging of assets in DAM</t>
  </si>
  <si>
    <t>Formula writing, data analysis and insights</t>
  </si>
  <si>
    <t>Summarizing notes, drafting responses to stakeholders</t>
  </si>
  <si>
    <t>Meeting notes, summaries, and action items</t>
  </si>
  <si>
    <t>Brainstorming, topic research, creative concepting</t>
  </si>
  <si>
    <t>Ideation/research</t>
  </si>
  <si>
    <t xml:space="preserve">Profound.ai for SEO research into AI overviews, </t>
  </si>
  <si>
    <t>Adobe Acrobat add on for accessibility in pdfs</t>
  </si>
  <si>
    <t>Additional smart tagging/cropping in cloud (currently on prem), Adobe Firefly services to automate supply chain,</t>
  </si>
  <si>
    <t>15-20%</t>
  </si>
  <si>
    <t>Removed managed services employees from Cella</t>
  </si>
  <si>
    <t>Spend Operations Site / Ariba Bot</t>
  </si>
  <si>
    <t>Open Arena / Copilot</t>
  </si>
  <si>
    <t>OMG AI Assist</t>
  </si>
  <si>
    <t>Includes Sr Director</t>
  </si>
  <si>
    <t>Adobe AEM Assets</t>
  </si>
  <si>
    <t>Adobe Creative Cloud, Adobe Exprress, Adobe Firefly</t>
  </si>
  <si>
    <t>Writer, Adobe Creative Cloud, Adobe Firefly</t>
  </si>
  <si>
    <t>Automation Ops &amp; Governance (Sarah S)</t>
  </si>
  <si>
    <t>Digital Capability Orchestartion (Cori, Amanda)</t>
  </si>
  <si>
    <t>Digital Analytics (James C)</t>
  </si>
  <si>
    <t>Business Intelligence (James L)</t>
  </si>
  <si>
    <t>Data Science (Nara)</t>
  </si>
  <si>
    <t>Customer Data (Anand)</t>
  </si>
  <si>
    <t>Mktg Finance Analysts (Srikanth)</t>
  </si>
  <si>
    <t>Performance Analysts (Pasquale)</t>
  </si>
  <si>
    <t>Marketing Technology (Carol, Desiree, Kim)</t>
  </si>
  <si>
    <t>ON24, Eloqua, Stensul</t>
  </si>
  <si>
    <t>Workfront Planning</t>
  </si>
  <si>
    <t>Primary:  Desiree, Gemma, Deep, Open Role 2</t>
  </si>
  <si>
    <t xml:space="preserve">Eloqua </t>
  </si>
  <si>
    <t>Primary:  Sarah, Matthew, Pete, Moe, Megan, Andre</t>
  </si>
  <si>
    <t>Primary:  Open Role 1</t>
  </si>
  <si>
    <t>Tableau, Power BI (Future)</t>
  </si>
  <si>
    <t>Expansion of WRITER to Partner Marketers, Solutions Marketers</t>
  </si>
  <si>
    <t>Planned: Python scripts, ADO API</t>
  </si>
  <si>
    <t>Supports real-time project oversight, bridges Engineering and Viz</t>
  </si>
  <si>
    <t>Other Tools: Ceros, Descript, Wellsaid, Artlist, Sora, MidJourney, &amp; TopazLabs</t>
  </si>
  <si>
    <t>Workfront, Hootsuite/Talkwalker</t>
  </si>
  <si>
    <t>Workfront AI capabilities (waiting on update)
For organic social media we use Hootsuite/Talkwalker</t>
  </si>
  <si>
    <t xml:space="preserve">New AI workflow using WRITER to pull webinar recording from ON24 to create content and assets. </t>
  </si>
  <si>
    <t>Produce templates and workflows in WRITER to Adobe Express and Adobe CS 4.0 to create product release videos in two weeks.</t>
  </si>
  <si>
    <t xml:space="preserve">Using WRITER, WorkFront and Adobe Express to create an end-to-end campaign in three weeks. 
Use WRITER to pull from Workfront, AEM DAM into Adobe Express to create OSM posts and place them into HootSuite.
Use WRITER to pull data from Gong to create OSM post within 48 hours via Adobe Express.
Pull data from TalkWalker about Reddit conversations and use WRITER to create display ads to post on Reddit based on the current discussions. </t>
  </si>
  <si>
    <t>Lee Klammer</t>
  </si>
  <si>
    <t>Treasure Data - Audience Agent Training and Deployment</t>
  </si>
  <si>
    <t>Administrative &amp; Operational Support</t>
  </si>
  <si>
    <t>Fact Checking (Copilot)
Meeting Notes (copilot)
Analysis summarization (Open Arena)
Chain for writing mailer script for new surveys (Open Arena)
Sharplegal Interview Quality Checker (Open Arena)
Ariba Purchase Order setup (Open Arena)</t>
  </si>
  <si>
    <t>Client Relationship &amp; Advisory Services</t>
  </si>
  <si>
    <t>Copilot (analyst agent), Copilot and Open Arena</t>
  </si>
  <si>
    <t>Analysis of unstructured data - packages (Open Arena)
Summarizing data and best practices (Open Arena)
Engaging email content (Open Arena)</t>
  </si>
  <si>
    <t>Client health scoring
Predictive advisory - trend analysis across client portfolios</t>
  </si>
  <si>
    <t>Content Creation &amp; Communication</t>
  </si>
  <si>
    <t>Open Arena, Copilot, ChatGPT</t>
  </si>
  <si>
    <t>Idea Generation/Brainstorming, Drafting blog posts, Article formatting, Translation (Open Arena/Copilot/ChatGPT)
Voice Over for Internal Presentations (Eleven Labs, AI voice)
PowerPoint content preparation (Open Arena)
Administrative content preparation (Open Arena)
OpenArena used for content generation (Open Arena)
Chain for adding commentary (Open Arena)</t>
  </si>
  <si>
    <t>Claude.ai
ElevenLabs</t>
  </si>
  <si>
    <t>Market Insights articles
Market Insights region/industry reports etc.</t>
  </si>
  <si>
    <t>Data analysis and insights generation</t>
  </si>
  <si>
    <t>Debug Code, understanding/changing others code, Optimize Existing Code, Idea Generation/Brainstorming for new variables (Open Arena/Copilot)
Removal of identifying information (Copilot)
Cleaning and collating qualitative data (Open Arena)
Code debugging (Open Arena) / Coding automation (Open Arena)
Codeframe development (Open Arena)
Analysis of unstructured data - packages (Open Arena)
Qlik scripting (Open Arena)
Analysis (Open Arena)</t>
  </si>
  <si>
    <t>Both internal analysis dashboards and Market Insights and Client Insights dashboards
Tailored MI reports/Thought Leadership
Tailored MI reports
Thought Leadership analysis</t>
  </si>
  <si>
    <t>Event &amp; Experience Management</t>
  </si>
  <si>
    <t>Session description and analysis (Open Arena)
Post-Event metrics/feedback (Open Arena)
Conference organization (Open Arena)
Post-Event information production (Open Arena)
Speaker/attendee/organization identification (Open Arena)</t>
  </si>
  <si>
    <t>Real time event sentiment analysis and feedback processing
Automated speaker sourcing
Predictive attendance modelling
ROI analysis</t>
  </si>
  <si>
    <t>Report Generation &amp; Documentation</t>
  </si>
  <si>
    <t>Smart fieldwork management - AI driven sample optimization
Automated interview quality scoring</t>
  </si>
  <si>
    <t>Tailored MI reports</t>
  </si>
  <si>
    <t>Research &amp; Survey Operations</t>
  </si>
  <si>
    <t>Tracking survey questions historically to help write new questionnaires</t>
  </si>
  <si>
    <t>Includes programming of surveys</t>
  </si>
  <si>
    <t>Sales &amp; Business Development</t>
  </si>
  <si>
    <t>Engaging content creation (Open Arena)
Engaging email content (Open Arena)</t>
  </si>
  <si>
    <t>Client relationship summarizations
AI Powered lead scoring and prioritization
Automated renewal risk assessments
AI generated sales prep notes</t>
  </si>
  <si>
    <t>Technical Development &amp; Automation</t>
  </si>
  <si>
    <t>Debug Code, understanding/changing others code, Optimize Existing Code (Open Arena/Copilot)
Querying of best practices and frameworks (Open Arena)</t>
  </si>
  <si>
    <t>Automated health monitoring across tech, predictive maintenance for tech systems</t>
  </si>
  <si>
    <t>Business Intelligence &amp; Analytics</t>
  </si>
  <si>
    <t>Client Advisory &amp; Services</t>
  </si>
  <si>
    <t>Content Strategy &amp; Creation</t>
  </si>
  <si>
    <t>Research &amp; Insights</t>
  </si>
  <si>
    <t>Strategic Events</t>
  </si>
  <si>
    <t>Technical &amp; Operational Support</t>
  </si>
  <si>
    <r>
      <rPr>
        <b/>
        <sz val="10"/>
        <color rgb="FF000000"/>
        <rFont val="Clario"/>
        <family val="2"/>
      </rPr>
      <t>Budget, Vendor, Tool Management</t>
    </r>
    <r>
      <rPr>
        <sz val="10"/>
        <color rgb="FF000000"/>
        <rFont val="Clario"/>
        <family val="2"/>
      </rPr>
      <t xml:space="preserve">: Own the comprehensive martech inventory, audit and renewal processes for our entire martech stack.  </t>
    </r>
  </si>
  <si>
    <r>
      <rPr>
        <b/>
        <sz val="10"/>
        <color theme="1"/>
        <rFont val="Clario Regular"/>
      </rPr>
      <t>Stakeholder Management</t>
    </r>
    <r>
      <rPr>
        <sz val="10"/>
        <color theme="1"/>
        <rFont val="Clario Regular"/>
      </rPr>
      <t>: Enablement, Communication, Training, Knowledge Sharing</t>
    </r>
  </si>
  <si>
    <r>
      <rPr>
        <b/>
        <sz val="10"/>
        <color rgb="FF000000"/>
        <rFont val="Clario"/>
        <family val="2"/>
      </rPr>
      <t>Tech &amp; Process Ownership</t>
    </r>
    <r>
      <rPr>
        <sz val="10"/>
        <color rgb="FF000000"/>
        <rFont val="Clario"/>
        <family val="2"/>
      </rPr>
      <t>: Own operational integrity and optimization of GTM platforms and workflows.</t>
    </r>
  </si>
  <si>
    <r>
      <rPr>
        <b/>
        <sz val="10"/>
        <color theme="1"/>
        <rFont val="Clario"/>
        <family val="2"/>
      </rPr>
      <t>Tech &amp; Process Ownership</t>
    </r>
    <r>
      <rPr>
        <sz val="10"/>
        <color theme="1"/>
        <rFont val="Clario"/>
        <family val="2"/>
      </rPr>
      <t>: Build and manage ecosystem that connects E2E campaign planning, execution and ROI (MPRM)</t>
    </r>
  </si>
  <si>
    <r>
      <rPr>
        <b/>
        <sz val="10"/>
        <color rgb="FF000000"/>
        <rFont val="Clario"/>
        <family val="2"/>
      </rPr>
      <t>Tech &amp; Process Ownership</t>
    </r>
    <r>
      <rPr>
        <sz val="10"/>
        <color rgb="FF000000"/>
        <rFont val="Clario"/>
        <family val="2"/>
      </rPr>
      <t>: Manage tech, data and workflows that score + process leads, manage preferences (BAU)</t>
    </r>
  </si>
  <si>
    <r>
      <rPr>
        <b/>
        <sz val="10"/>
        <color theme="1"/>
        <rFont val="Clario"/>
        <family val="2"/>
      </rPr>
      <t>Digital orchestration</t>
    </r>
    <r>
      <rPr>
        <sz val="10"/>
        <color theme="1"/>
        <rFont val="Clario"/>
        <family val="2"/>
      </rPr>
      <t xml:space="preserve"> (trials and post-sale)</t>
    </r>
  </si>
  <si>
    <r>
      <rPr>
        <b/>
        <sz val="10"/>
        <color theme="1"/>
        <rFont val="Clario Regular"/>
      </rPr>
      <t xml:space="preserve">Digital Analytics: </t>
    </r>
    <r>
      <rPr>
        <sz val="10"/>
        <color theme="1"/>
        <rFont val="Clario Regular"/>
      </rPr>
      <t>tracking planning &amp; implementation; administration of Adobe Analytics reporting suite; produce dashboards within AA Workspace</t>
    </r>
  </si>
  <si>
    <r>
      <rPr>
        <b/>
        <sz val="10"/>
        <color theme="1"/>
        <rFont val="Clario Regular"/>
      </rPr>
      <t>Data Engineering</t>
    </r>
    <r>
      <rPr>
        <sz val="10"/>
        <color theme="1"/>
        <rFont val="Clario Regular"/>
      </rPr>
      <t>, Integration, Normalization, QA, Publishing</t>
    </r>
  </si>
  <si>
    <r>
      <rPr>
        <b/>
        <sz val="10"/>
        <color theme="1"/>
        <rFont val="Clario Regular"/>
      </rPr>
      <t>Dashboard Development</t>
    </r>
    <r>
      <rPr>
        <sz val="10"/>
        <color theme="1"/>
        <rFont val="Clario Regular"/>
      </rPr>
      <t>, Support &amp; Maintenance</t>
    </r>
  </si>
  <si>
    <r>
      <rPr>
        <b/>
        <sz val="10"/>
        <color theme="1"/>
        <rFont val="Clario Regular"/>
      </rPr>
      <t>Data Science</t>
    </r>
    <r>
      <rPr>
        <sz val="10"/>
        <color theme="1"/>
        <rFont val="Clario Regular"/>
      </rPr>
      <t xml:space="preserve"> / Advanced Analytics</t>
    </r>
  </si>
  <si>
    <r>
      <rPr>
        <b/>
        <sz val="10"/>
        <color theme="1"/>
        <rFont val="Clario Regular"/>
      </rPr>
      <t>Data Enrichment</t>
    </r>
    <r>
      <rPr>
        <sz val="10"/>
        <color theme="1"/>
        <rFont val="Clario Regular"/>
      </rPr>
      <t>: 3rd party vendor</t>
    </r>
  </si>
  <si>
    <r>
      <rPr>
        <b/>
        <sz val="10"/>
        <color theme="1"/>
        <rFont val="Clario Regular"/>
      </rPr>
      <t xml:space="preserve">Tech &amp; Process Ownership: </t>
    </r>
    <r>
      <rPr>
        <sz val="10"/>
        <color theme="1"/>
        <rFont val="Clario Regular"/>
      </rPr>
      <t>CDP Configuration</t>
    </r>
  </si>
  <si>
    <r>
      <rPr>
        <b/>
        <sz val="10"/>
        <color theme="1"/>
        <rFont val="Clario Regular"/>
      </rPr>
      <t xml:space="preserve">Tech &amp; Process Ownership: </t>
    </r>
    <r>
      <rPr>
        <sz val="10"/>
        <color theme="1"/>
        <rFont val="Clario Regular"/>
      </rPr>
      <t>Audience Ops</t>
    </r>
  </si>
  <si>
    <r>
      <rPr>
        <b/>
        <sz val="10"/>
        <color theme="1"/>
        <rFont val="Clario Regular"/>
      </rPr>
      <t>Financial Analytics:</t>
    </r>
    <r>
      <rPr>
        <sz val="10"/>
        <color theme="1"/>
        <rFont val="Clario Regular"/>
      </rPr>
      <t xml:space="preserve"> Budget / Spend recommendations &amp; insights</t>
    </r>
  </si>
  <si>
    <r>
      <rPr>
        <b/>
        <sz val="10"/>
        <color theme="1"/>
        <rFont val="Clario Regular"/>
      </rPr>
      <t>Performance Analtyics</t>
    </r>
    <r>
      <rPr>
        <sz val="10"/>
        <color theme="1"/>
        <rFont val="Clario Regular"/>
      </rPr>
      <t>: recommendations &amp; insights</t>
    </r>
  </si>
  <si>
    <t>Treasure Data</t>
  </si>
  <si>
    <t>Interim VP (Lee)</t>
  </si>
  <si>
    <t>Alteryx, SQL, Python, DBT</t>
  </si>
  <si>
    <t>Primary: Pete's team</t>
  </si>
  <si>
    <t>Primary: Tiffany, Open Role</t>
  </si>
  <si>
    <t>Directory, 4 Data Viz analysts, Open Role</t>
  </si>
  <si>
    <t>Python</t>
  </si>
  <si>
    <t>D&amp;B, ZoomInfo, 6Sense</t>
  </si>
  <si>
    <t>MS 365 Copilot</t>
  </si>
  <si>
    <t>Clean up Contact Excel Lists provided by Partner</t>
  </si>
  <si>
    <t xml:space="preserve">TR Open Arena
M365 Copilot Research
</t>
  </si>
  <si>
    <t>Research for GTM, Campaign Plan Creation</t>
  </si>
  <si>
    <t xml:space="preserve">TR Open Arena
MS365 Copilot
</t>
  </si>
  <si>
    <t>Transcription, Meeting Notes, Summary</t>
  </si>
  <si>
    <t xml:space="preserve">TR Open Arena
MS365
</t>
  </si>
  <si>
    <t>Clean up Excel, summarize trends</t>
  </si>
  <si>
    <t>Drafting messaging, copy editing, consistency checking</t>
  </si>
  <si>
    <t>AI video editing, auto-personalization for target segments; eg: Jasper,Writer</t>
  </si>
  <si>
    <t>Forecasting, segmentation, pipeline analysis</t>
  </si>
  <si>
    <t>Extracting common themes and pain points from survey responses, reviews, and social media using AI-driven analysis.</t>
  </si>
  <si>
    <t>Enable real-time, hyper-personalized personas, unify online and offline data, simulate behaviors, validate personas, and generate tailored content.</t>
  </si>
  <si>
    <t>Social copy drafting, post scheduling, analytics</t>
  </si>
  <si>
    <t>AI-driven social listening &amp; engagement automation</t>
  </si>
  <si>
    <t>Checklist automation, launch comms drafting</t>
  </si>
  <si>
    <t>Predictive launch success modeling, risk flagging, administrative tasks, eg; Airtable AI, Asana AI, Notion AI</t>
  </si>
  <si>
    <t>Creating session titles and descriptions, attendee targeting, feedback analysis</t>
  </si>
  <si>
    <t>Drafting reports and emails, improving message in reporting.</t>
  </si>
  <si>
    <t>Competitor monitoring, trend analysis, automated reports, Writing code, Automated persona generation, predictive market demand modeling example: Crayon, AlphaSense, Similarweb, Developer AI, Advanced CoPilot</t>
  </si>
  <si>
    <r>
      <rPr>
        <b/>
        <sz val="10"/>
        <color theme="1"/>
        <rFont val="Clario Regular"/>
      </rPr>
      <t>Market Insights &amp; Research</t>
    </r>
    <r>
      <rPr>
        <sz val="10"/>
        <color theme="1"/>
        <rFont val="Clario Regular"/>
      </rPr>
      <t>: customer value prop &amp; messaging validation testing, gathering insights/feedback and reporting.</t>
    </r>
  </si>
  <si>
    <t>Customized .pptx report repository search agent, OneDrive search agent, customer list cleaning AI chain, pre-test product concepts/value propositions/messaging with "synthetic" respondents prior to research</t>
  </si>
  <si>
    <r>
      <rPr>
        <b/>
        <sz val="10"/>
        <color theme="1"/>
        <rFont val="Clario Regular"/>
      </rPr>
      <t xml:space="preserve">Project/Program Management: </t>
    </r>
    <r>
      <rPr>
        <sz val="10"/>
        <color theme="1"/>
        <rFont val="Clario Regular"/>
      </rPr>
      <t>Building and standarising processes</t>
    </r>
  </si>
  <si>
    <t>Primary: Anand, Rajiv</t>
  </si>
  <si>
    <t>Meltwater, Bombora, market research, campaign analysis</t>
  </si>
  <si>
    <t>M365 CoPilot,  Persona AI Assistant</t>
  </si>
  <si>
    <t>M365 Copilot, Open Arena</t>
  </si>
  <si>
    <t>Open Arena, Persona AI assistant</t>
  </si>
  <si>
    <t>ON24, Eloqua,  Canva AI, Google Veo, Synthesia, Vidyard, Luma Dream Machine, Admers</t>
  </si>
  <si>
    <t xml:space="preserve"> Hootsuite, Meltwater, Canva AI</t>
  </si>
  <si>
    <t>Bombora, Meltwater</t>
  </si>
  <si>
    <t>6sense</t>
  </si>
  <si>
    <t xml:space="preserve"> Open Arena, AI Persona Assistant</t>
  </si>
  <si>
    <t>Open Arena, AI Persona Assistant</t>
  </si>
  <si>
    <t xml:space="preserve">Stensul, ON24, Eloqua, 6sense, </t>
  </si>
  <si>
    <t xml:space="preserve">TR Open Arena </t>
  </si>
  <si>
    <t>TR Open Arena, M365 Copilot</t>
  </si>
  <si>
    <t>TR Open Arena, CoCounsel</t>
  </si>
  <si>
    <t>Open Arena: draft responses and summarize trends in communications; Open Arena Chains for attendee email inbox management; Teams: internal group chats for internal events, summaries</t>
  </si>
  <si>
    <t>Certain Touchpoint tool (WIP for 2025)</t>
  </si>
  <si>
    <t>Certain Touchpoint session rec tool for attendee use at SYN 2025 (WIP for 2025), Snapsite: AI summaries of session content via audio, shared in app</t>
  </si>
  <si>
    <t>Certain Touchpoint tool not guaranteed for 2025</t>
  </si>
  <si>
    <t>Certain, Smartsheet, Certain Touchpoint Mobile Event App</t>
  </si>
  <si>
    <t>Certain, Smarthseet, Certain Touchpoint Mobile Event App, AI Bio Builder</t>
  </si>
  <si>
    <t>*Does not include current open headcount</t>
  </si>
  <si>
    <t>*rounding errors</t>
  </si>
  <si>
    <r>
      <rPr>
        <b/>
        <sz val="10"/>
        <color theme="1"/>
        <rFont val="Clario Regular"/>
      </rPr>
      <t xml:space="preserve">Project/Program Management (operationss): </t>
    </r>
    <r>
      <rPr>
        <sz val="10"/>
        <color theme="1"/>
        <rFont val="Clario Regular"/>
      </rPr>
      <t>Coordinating, managing, communicating &amp; tracking project progress for product launches and other projects.</t>
    </r>
  </si>
  <si>
    <t xml:space="preserve">Writer </t>
  </si>
  <si>
    <t>Tone/brand alignment scoring, synthetic persona-based messaging testing, AI-based differentiation suggestions; eg: Jasper</t>
  </si>
  <si>
    <t>AI-enabled synthesis of customer feedback and requests, competitive strengths translated to roadmap suggestions</t>
  </si>
  <si>
    <t>Summarizing text survey responses, refining survey questions, drafting survey invitations, identifying key findings, drafting research summaries, creating charts and graphs for reports, enabling search and usage of results</t>
  </si>
  <si>
    <t>PPT deck creation, automated tailoring of materials for verticals or personas, e.g. Seismic AI/Aura</t>
  </si>
  <si>
    <t>Automated content creation based on session, persona, event</t>
  </si>
  <si>
    <t>FAQ generation, objection handling scripts, automated common FAQ answering via agents</t>
  </si>
  <si>
    <t>First drafts of messaging for new features, get the latest data from our market research team.</t>
  </si>
  <si>
    <t>Sample prioritization (Open Arena)
Assist with questionnaire wording, reponse options, estimate timings (Open Arena)</t>
  </si>
  <si>
    <t>Could adapt Sarah Kearney's existing chain for finding missing data/fields - could be adapted for missing responses etc.
Using Claude to help with Machine Learning scripts
Claude.ai for visualization
Predictive insights</t>
  </si>
  <si>
    <t>Data Quality &amp; Governance</t>
  </si>
  <si>
    <t>Formatting, Consistency Searches, Idea Generation/Brainstorming, Voice Checks
PowerPoint content preparation (Open Arena)
Interview report cleaner &amp; Formatter (Open Arena)</t>
  </si>
  <si>
    <t xml:space="preserve">WriterAI </t>
  </si>
  <si>
    <t>Ask GPT 4.1, Ask Gemini, Ask Your Document, Summarize your Document, Ask Claude 4 Sonnet</t>
  </si>
  <si>
    <t>•	Supports content mapping and user journey development.
•	Product and template strategy:
o	Leverages product KMD and existing product page templates to provide a strategic roadmap for presenting the product story—balancing customer needs with product focus.
o	Enables us to build new template content strategies from the ground up. For example, we use AI to differentiate the content approach for SaaS products versus our existing product ecosystem.</t>
  </si>
  <si>
    <t xml:space="preserve">•	Use AI-powered research tools to analyze industry trends, competitor content, and user search behavior.
•	Recommending high-priority content topics that resonate with our target audience and align with customer search queries. </t>
  </si>
  <si>
    <t>•	Assists in drafting outlines and suggesting headlines, subheads, and body copy that align with SEO and digital best practices.
•	Utilizes AI-driven writing assistants to draft initial content and maintain a consistent tone and style across all materials.
•	Suggests alternative phrasings, improves clarity, checks for jargon, and tightens copy for conciseness and impact.
•	Summarizes lengthy documents (such as KMDs), extracts key ideas, and helps differentiate between similar products</t>
  </si>
  <si>
    <t>•	AI-powered translation tools to localize content for global audiences. •	Plagiarism detectors ensure originality and adherence to ethical standards. (Sarah says Business Grammarly excels in this area.)
•	Pre-publication scans for compliance and legal issues to reduce risk and maintain credibility.
•	Reviews content for alignment with brand guidelines, maintaining consistency across all assets</t>
  </si>
  <si>
    <t>Content Development</t>
  </si>
  <si>
    <r>
      <rPr>
        <b/>
        <sz val="10"/>
        <color theme="1"/>
        <rFont val="Clario Regular"/>
      </rPr>
      <t>Web Operations:</t>
    </r>
    <r>
      <rPr>
        <sz val="10"/>
        <color theme="1"/>
        <rFont val="Clario Regular"/>
      </rPr>
      <t xml:space="preserve"> Adobe Publishing and Q&amp;A</t>
    </r>
  </si>
  <si>
    <t>Development of custom code
Code checking and Review
Documentation creation</t>
  </si>
  <si>
    <t>Determine project templates and content fragments from KMD - requires tagging - ideally from performance data, too
Transpose copy templates to AEM - integration
Assess final page against QA standards
Assess final page against KMD goals</t>
  </si>
  <si>
    <t>Efficiencies mainly driven through automation and not true AI</t>
  </si>
  <si>
    <t>Web Publisher</t>
  </si>
  <si>
    <t>Generaion of meeting notes, summaries and actions
Documentation and guidance creations
Triage/asssessment of intake requests</t>
  </si>
  <si>
    <t xml:space="preserve">Web Team onboarding assistant - Created in OpenArena to test
Web Team assistant - Stakeholders ability to ask questions on process and best practices - Created in OpenArena
Assessment of Copy Template for completion. 
Creation of Copy Template from KMD
</t>
  </si>
  <si>
    <t>ProgramMgt, Project Manager</t>
  </si>
  <si>
    <t>Web Design/UX</t>
  </si>
  <si>
    <t>Firefly</t>
  </si>
  <si>
    <t>Generation variations of images for web production and mock ups
UX documentationand  guidance and accessibility checks</t>
  </si>
  <si>
    <t>Assess mockups and designs for brand and accessibility compliance. 
Assess mockups and designs for user engagement - cross reference with data</t>
  </si>
  <si>
    <t>Design Specialist</t>
  </si>
  <si>
    <r>
      <rPr>
        <b/>
        <sz val="10"/>
        <color theme="1"/>
        <rFont val="Clario Regular"/>
      </rPr>
      <t>Web Operations</t>
    </r>
    <r>
      <rPr>
        <sz val="10"/>
        <color theme="1"/>
        <rFont val="Clario Regular"/>
      </rPr>
      <t>: Platform Performance Monitoring</t>
    </r>
  </si>
  <si>
    <t>Site Improve</t>
  </si>
  <si>
    <t>Site improve Reports analysis- Broken links, Misspellings, SEO data. Adobe analytics open arena chain to analyse form metrics</t>
  </si>
  <si>
    <t>Siteimprove Misspellings AI open arena chain to get all the misspelling suggestions.             AI-Assisted Resource Allocation &amp; Workload Balancing .AI-Powered Page Expiry Notification System for AEM. AI Application for Content Review.AI QA Audit tool</t>
  </si>
  <si>
    <t>Marketing Automation Specilist</t>
  </si>
  <si>
    <r>
      <rPr>
        <b/>
        <sz val="10"/>
        <color theme="1"/>
        <rFont val="Clario Regular"/>
      </rPr>
      <t>Paid Media:</t>
    </r>
    <r>
      <rPr>
        <sz val="10"/>
        <color theme="1"/>
        <rFont val="Clario Regular"/>
      </rPr>
      <t xml:space="preserve"> Strategy, Planning and execution</t>
    </r>
  </si>
  <si>
    <t>Platform (Google/Bing) Bid Strategies
Google AI Max Ad Formats
Platform (Google/Bing) Broad Match
LinkedIn Buying Group Targeting
Google Insights Page</t>
  </si>
  <si>
    <t xml:space="preserve">Open Arena </t>
  </si>
  <si>
    <t>Automated bidding to specified outcomes
Automated query matching and expansion 
Dynamic audience creation
Generating keyword variations and suggestions
Ad Copy generation
Benchmarkting budget recommendations</t>
  </si>
  <si>
    <t>Create Display Ad Variations based on top performers
AI generated image and video ads
Ad Mob AI Ad Optimization for Mobile</t>
  </si>
  <si>
    <t xml:space="preserve">AI-based tools have been rolling out in platforms like Google over the last 3-5 years and we've been early adopters/testers of nearly all of them. </t>
  </si>
  <si>
    <t>Paid Media Lead</t>
  </si>
  <si>
    <r>
      <rPr>
        <b/>
        <sz val="10"/>
        <color theme="1"/>
        <rFont val="Clario Regular"/>
      </rPr>
      <t>Paid Media</t>
    </r>
    <r>
      <rPr>
        <sz val="10"/>
        <color theme="1"/>
        <rFont val="Clario Regular"/>
      </rPr>
      <t>: Performance and Reporting</t>
    </r>
  </si>
  <si>
    <t>Platform (Google/Bing) Dynamic Ad Optimization</t>
  </si>
  <si>
    <t>Benchmarking performance KPIs
Ad Variation Creation
Performance Trend Summaries</t>
  </si>
  <si>
    <t xml:space="preserve">Ad performance review- find common themes tied to performance outcomes (best performing ads, for example)
Merging change history with performance data to create impact summaries and build cause and effect explanations
</t>
  </si>
  <si>
    <t>Product Manager</t>
  </si>
  <si>
    <r>
      <rPr>
        <b/>
        <sz val="10"/>
        <color theme="1"/>
        <rFont val="Clario Regular"/>
      </rPr>
      <t>Product Management:</t>
    </r>
    <r>
      <rPr>
        <sz val="10"/>
        <color theme="1"/>
        <rFont val="Clario Regular"/>
      </rPr>
      <t xml:space="preserve"> Future state build for web experience</t>
    </r>
  </si>
  <si>
    <t>Scaffolding for Epic/Feature/Story creation</t>
  </si>
  <si>
    <t>SEO Manager</t>
  </si>
  <si>
    <r>
      <rPr>
        <b/>
        <sz val="10"/>
        <color theme="1"/>
        <rFont val="Clario Regular"/>
      </rPr>
      <t xml:space="preserve">Experience Management: </t>
    </r>
    <r>
      <rPr>
        <sz val="10"/>
        <color theme="1"/>
        <rFont val="Clario Regular"/>
      </rPr>
      <t>Review web and channel performance, drive execution to digital best practices, optimize for conversion</t>
    </r>
  </si>
  <si>
    <t>Mostly used to improve personal productivity such as email drafting, meeting summaries/actions, refine messaging, scale the learning curve in unfamiliar topics. Sometimes used to ideate on strategic directions, high level opportunities, draft approaches and workplans.</t>
  </si>
  <si>
    <t xml:space="preserve">Competitor / market trend research, automated performance alerts (e.g., sudden drop in traffic, or negative performance trends by page) </t>
  </si>
  <si>
    <t>will need support/training to understand HOW to better use some of our existing Open Arena AI tools for data analysis, setting up agents for recurring updates, etc.</t>
  </si>
  <si>
    <t>SEMRush, Open Arena (ask GPT, Summarize your documetnt) Writer AI</t>
  </si>
  <si>
    <t xml:space="preserve">Identifying topics, and doing keyword research. Providing first drafts, edits, and summarization fo content. Generation of meta data at scale.  </t>
  </si>
  <si>
    <t>Full access to major LLMs for research and understanding user interfaces. Creation of Chains or Agents that are tailored to SEO specific needs</t>
  </si>
  <si>
    <t>Audience Management</t>
  </si>
  <si>
    <t>Open Arena (Analyze your document)</t>
  </si>
  <si>
    <t>Utilizing Open Arena to anlayze traffic and form compelete data to identify trends</t>
  </si>
  <si>
    <t>Utilize API from data sources to plug into Open Arena Chains to provide better insights</t>
  </si>
  <si>
    <t>Digital Experience - Site managers and DPMs</t>
  </si>
  <si>
    <t>Hypthothesis vetting, triage, some light wireframe/design work, As a "copilot" for test journey mapping and optimization ideas, as well as a second set of eyes for results/anaytics verifcation and insights. Use to better understand our existing marketing stack and where existing strengths and weaknesses that impact this work may lay</t>
  </si>
  <si>
    <t>AI can help solve the “Now what?” problem of personalization by identifying high-impact opportunities, automating scalable experiences, and continuously optimizing based on real-time user behavior—turning capability into measurable value. Content variation to deliver personalization at scale. Content creation for nimble MVPs to get to market quickly</t>
  </si>
  <si>
    <t>Business Performance</t>
  </si>
  <si>
    <t>Helps with formatting CRM files for DMP updlaods - makes it a little less manual. Answers technical questions without opening any tickets or bothering others,</t>
  </si>
  <si>
    <t>Agentic audience builds; segmentation for all channels</t>
  </si>
  <si>
    <t>Optimization Specialist</t>
  </si>
  <si>
    <r>
      <rPr>
        <b/>
        <sz val="10"/>
        <color theme="1"/>
        <rFont val="Clario Regular"/>
      </rPr>
      <t>Business Performance:</t>
    </r>
    <r>
      <rPr>
        <sz val="10"/>
        <color theme="1"/>
        <rFont val="Clario Regular"/>
      </rPr>
      <t xml:space="preserve">  Business performance reporting, and Strategic recommendations &amp; presentations</t>
    </r>
  </si>
  <si>
    <t>Ad hoc analysis and drafting</t>
  </si>
  <si>
    <r>
      <rPr>
        <b/>
        <sz val="10"/>
        <color theme="1"/>
        <rFont val="Clario Regular"/>
      </rPr>
      <t xml:space="preserve">Business Performance: </t>
    </r>
    <r>
      <rPr>
        <sz val="10"/>
        <color theme="1"/>
        <rFont val="Clario Regular"/>
      </rPr>
      <t>Data analysis, channel targets/goal setting</t>
    </r>
  </si>
  <si>
    <t>Use AI to identify web content and activations that carry operational weight but do not deliver business results</t>
  </si>
  <si>
    <r>
      <rPr>
        <b/>
        <sz val="10"/>
        <color theme="1"/>
        <rFont val="Clario Regular"/>
      </rPr>
      <t>Mkt Automation:</t>
    </r>
    <r>
      <rPr>
        <sz val="10"/>
        <color theme="1"/>
        <rFont val="Clario Regular"/>
      </rPr>
      <t xml:space="preserve"> Execution</t>
    </r>
  </si>
  <si>
    <t>Campaign Subject line, Content creation, Marketers Consulting,</t>
  </si>
  <si>
    <t xml:space="preserve">AI chat bot for Email Marketers. </t>
  </si>
  <si>
    <r>
      <rPr>
        <b/>
        <sz val="10"/>
        <color theme="1"/>
        <rFont val="Clario Regular"/>
      </rPr>
      <t>Mkt Automation:</t>
    </r>
    <r>
      <rPr>
        <sz val="10"/>
        <color theme="1"/>
        <rFont val="Clario Regular"/>
      </rPr>
      <t xml:space="preserve"> Analysis and performance</t>
    </r>
  </si>
  <si>
    <t>Analyse Email performance metrics and recommendations for A/B testing. Email drafting.</t>
  </si>
  <si>
    <t>AI driven EMail Dashboards</t>
  </si>
  <si>
    <t>Primary: Kim / Partial: Carol, Anand</t>
  </si>
  <si>
    <r>
      <rPr>
        <b/>
        <sz val="10"/>
        <color rgb="FF000000"/>
        <rFont val="Clario Regular"/>
      </rPr>
      <t xml:space="preserve">Project Management </t>
    </r>
    <r>
      <rPr>
        <sz val="10"/>
        <color rgb="FF000000"/>
        <rFont val="Clario Regular"/>
      </rPr>
      <t>(Requirements Gathering, Scoping, Prioritization (Backlog Grooming, Bug/Anomaly Quick Fixes)</t>
    </r>
  </si>
  <si>
    <t>Primary: Amanda, Cori, Joanne, Lauren, Kristy, Wendy, Vivian, Carol</t>
  </si>
  <si>
    <t>- OMG AI Assist - Providing stakeholder guidance / addressing questions around how to use OMG, definitions, report types, etc.
- Generice AI Tools - in addition to general efficency, beginning to experiment with Open Arena to provide reporting insights as first draft for responses / scorecard commentary</t>
  </si>
  <si>
    <t>N/A</t>
  </si>
  <si>
    <t>- Open Arena to check transformation logic, help define QA rules, spot inconsistencies, and review data outputs
- Data cleanup and request validations</t>
  </si>
  <si>
    <t>- Meeting notes reconciliation, project tracker creation and updates</t>
  </si>
  <si>
    <t>- Open Arena for drafting onboarding guides, how-to docs, and troubleshooting FAQs; reviewing existing documentation for gaps</t>
  </si>
  <si>
    <t>- Ariba Bot - User friendly interface / "front door" for SAP Ariba to help stakeholders with purchase order creation, vendor management, etc.</t>
  </si>
  <si>
    <t>- Data cleanup and request validations</t>
  </si>
  <si>
    <t>- Code development and reviews</t>
  </si>
  <si>
    <t>- Open Arena for troubleshooting SQL, brainstorming new visualizations, refining dashboard UI/UX, and validating logic for critical reports</t>
  </si>
  <si>
    <t xml:space="preserve">- Eloqua send time optimization = Email deployment at ideal customer-specific times, Internal build Lead Load App = simplify process for lead loads </t>
  </si>
  <si>
    <t>- Agent to optimize lead flow and error resolution</t>
  </si>
  <si>
    <t>- Workfront Planning features a generative AI (genAI) assistant that can be used to query data relating to projects and generate marketing briefs based on uploaded documents to include in records.</t>
  </si>
  <si>
    <t>- ON24 ACE used to customize webinars</t>
  </si>
  <si>
    <t>- Monitor contract expirations and send reminders for timely renewals; market intelligence monitoring supplier markets and pricing trends</t>
  </si>
  <si>
    <t>- Python-based integration to extract project/task data, feed to Open Arena for AI-driven project status summaries, risk alerts, and dynamic progress reporting</t>
  </si>
  <si>
    <t>- Internal AI knowledge assistant trained on team docs, auto-update of process guides, dynamic onboarding flows</t>
  </si>
  <si>
    <t>- Agent to manage platform to platform integrations, Agent to manage user admin, Agent to take email frequency management to a more personalized level to optimize a contact's fatigue level.</t>
  </si>
  <si>
    <t>- Consolidate and validate financial MPRM data, Automated Workfront intake, Anaplan Forecasting (PlanIQ)	predictive forecasting and agile scenario modeling</t>
  </si>
  <si>
    <t>- Anomaly detection, auto-profiling, continuous data quality agent
- Treasure Data - Audience Agent Training and Deployment</t>
  </si>
  <si>
    <t>- Automated dashboard commentary, anomaly detection, dynamic visualization recommendations, NLG for stakeholder summaries</t>
  </si>
  <si>
    <t>- Deeper spend analysis for budget forecasting and GTM Activity allocation</t>
  </si>
  <si>
    <t>- OMG AI Assist expansion - build or buy to provide an initial understanding of performance to then shine a light on where to go deeper on</t>
  </si>
  <si>
    <t>- Using Open Arena to aggregate and analyze survey results, write RFPs, evaluate submissions</t>
  </si>
  <si>
    <t>Gong, Clozd</t>
  </si>
  <si>
    <t>Displayr, Qualtrics, Clozd</t>
  </si>
  <si>
    <t xml:space="preserve">AI reporting tool that includes insights. </t>
  </si>
  <si>
    <t xml:space="preserve">Before AI implementation, LatAm needs to integrate paid media via API and CRM for accurate and real-time results. </t>
  </si>
  <si>
    <t>OpenArena, Persona AI Assistant</t>
  </si>
  <si>
    <t>Stensul, ON24, Eloqua, 6sense</t>
  </si>
  <si>
    <t>OpenArena, Copilot, Persona AI Assistant</t>
  </si>
  <si>
    <t>Open Arena, Copilot,Persona AI Assistant</t>
  </si>
  <si>
    <t>Open Arena, Copilot,Persona AI, Tableau AI</t>
  </si>
  <si>
    <t>Notion</t>
  </si>
  <si>
    <t>Open Arena, Teams Planner</t>
  </si>
  <si>
    <t>OpenArena, Copilot, Teams Premium</t>
  </si>
  <si>
    <t>ELoqua GenAI</t>
  </si>
  <si>
    <r>
      <rPr>
        <b/>
        <sz val="10"/>
        <color theme="1"/>
        <rFont val="Clario Regular"/>
      </rPr>
      <t>Campaign Planning</t>
    </r>
    <r>
      <rPr>
        <sz val="10"/>
        <color theme="1"/>
        <rFont val="Clario Regular"/>
      </rPr>
      <t xml:space="preserve"> - strategy, buyers journey, channel mix</t>
    </r>
  </si>
  <si>
    <r>
      <rPr>
        <b/>
        <sz val="10"/>
        <color theme="1"/>
        <rFont val="Clario Regular"/>
      </rPr>
      <t>Marketing Strategy</t>
    </r>
    <r>
      <rPr>
        <sz val="10"/>
        <color theme="1"/>
        <rFont val="Clario Regular"/>
      </rPr>
      <t xml:space="preserve"> - GTM strategies and targets, whitespace, audience targeting</t>
    </r>
  </si>
  <si>
    <r>
      <rPr>
        <b/>
        <sz val="10"/>
        <color theme="1"/>
        <rFont val="Clario Regular"/>
      </rPr>
      <t>Marketing Strategy</t>
    </r>
    <r>
      <rPr>
        <sz val="10"/>
        <color theme="1"/>
        <rFont val="Clario Regular"/>
      </rPr>
      <t xml:space="preserve"> - Data analytics, performance and pipeline conversion</t>
    </r>
  </si>
  <si>
    <r>
      <t xml:space="preserve">Content Creation / Asset Management </t>
    </r>
    <r>
      <rPr>
        <sz val="10"/>
        <color theme="1"/>
        <rFont val="Clario Regular"/>
      </rPr>
      <t>- topical research, asset creation and mgnt, SOWs, optimization</t>
    </r>
  </si>
  <si>
    <r>
      <t>Content Strategy</t>
    </r>
    <r>
      <rPr>
        <sz val="10"/>
        <color theme="1"/>
        <rFont val="Clario Regular"/>
      </rPr>
      <t xml:space="preserve"> - messaging, audience/persona, content mix, editorial calendar, performance </t>
    </r>
  </si>
  <si>
    <r>
      <t xml:space="preserve">*Visibility into </t>
    </r>
    <r>
      <rPr>
        <b/>
        <sz val="10"/>
        <color theme="1"/>
        <rFont val="Clario Regular"/>
      </rPr>
      <t>every</t>
    </r>
    <r>
      <rPr>
        <sz val="10"/>
        <color theme="1"/>
        <rFont val="Clario Regular"/>
      </rPr>
      <t xml:space="preserve"> content asset a customer engages with along buying journey to make more informed decisions on future content.  
*Real-time competitive insights on auidence/persona and product messaging and content creation.  
*Library of ongoing (new, timely) persona insights from customer conversations and other inputs from those who engage directly with our customers</t>
    </r>
  </si>
  <si>
    <r>
      <t xml:space="preserve">AI Internal Product Dev - </t>
    </r>
    <r>
      <rPr>
        <sz val="10"/>
        <color theme="1"/>
        <rFont val="Clario Regular"/>
      </rPr>
      <t>Product roadmap &amp; feature planning, Development &amp; coding, Testing &amp; quality assurance, and Stakeholder communication &amp; demos</t>
    </r>
  </si>
  <si>
    <r>
      <t xml:space="preserve">Project Manager - </t>
    </r>
    <r>
      <rPr>
        <sz val="10"/>
        <color theme="1"/>
        <rFont val="Clario Regular"/>
      </rPr>
      <t>Project planning &amp; resource allocation, Team coordination &amp; communication, Progress tracking &amp; reporting, and Stakeholder management &amp; meetings</t>
    </r>
  </si>
  <si>
    <r>
      <t xml:space="preserve">Analytics and Insigths </t>
    </r>
    <r>
      <rPr>
        <sz val="10"/>
        <color theme="1"/>
        <rFont val="Clario Regular"/>
      </rPr>
      <t>- Data analysis &amp; modeling, Report creation &amp; visualization, Data collection &amp; validation, and Strategic recommendations &amp; presentations</t>
    </r>
  </si>
  <si>
    <r>
      <t>Product Marketing</t>
    </r>
    <r>
      <rPr>
        <sz val="10"/>
        <color theme="1"/>
        <rFont val="Clario Regular"/>
      </rPr>
      <t>: Creating insight-driven messaging</t>
    </r>
  </si>
  <si>
    <t>Writer, Product Marketing Research Agent</t>
  </si>
  <si>
    <r>
      <t>Product Marketing:</t>
    </r>
    <r>
      <rPr>
        <sz val="10"/>
        <color theme="1"/>
        <rFont val="Clario Regular"/>
      </rPr>
      <t xml:space="preserve"> content creation ie value decks, pitch decks</t>
    </r>
  </si>
  <si>
    <r>
      <t xml:space="preserve">Product Marketing: </t>
    </r>
    <r>
      <rPr>
        <sz val="10"/>
        <color theme="1"/>
        <rFont val="Clario Regular"/>
      </rPr>
      <t>Go-to-market planning: building roadmaps, competitive intelligence, win/loss evaluation, meetings, &amp; follow-up tasks</t>
    </r>
  </si>
  <si>
    <r>
      <t xml:space="preserve">Product Marketing: </t>
    </r>
    <r>
      <rPr>
        <sz val="10"/>
        <color theme="1"/>
        <rFont val="Clario Regular"/>
      </rPr>
      <t>Building personas &amp; customer segmentation</t>
    </r>
  </si>
  <si>
    <r>
      <t>Product Marketing:</t>
    </r>
    <r>
      <rPr>
        <sz val="10"/>
        <color theme="1"/>
        <rFont val="Clario Regular"/>
      </rPr>
      <t xml:space="preserve"> Web &amp; Social Content Management</t>
    </r>
  </si>
  <si>
    <r>
      <t xml:space="preserve">Product Marketing: </t>
    </r>
    <r>
      <rPr>
        <sz val="10"/>
        <color theme="1"/>
        <rFont val="Clario Regular"/>
      </rPr>
      <t xml:space="preserve">Lead go-to-market for product launches in close partnership with Product, creating market requirements; providing clear, high-level visibility to stakeholders while overseeing cross-functional dependencies and risks, escalating when appropriate. </t>
    </r>
  </si>
  <si>
    <r>
      <t>Product Marketing:</t>
    </r>
    <r>
      <rPr>
        <sz val="10"/>
        <color theme="1"/>
        <rFont val="Clario Regular"/>
      </rPr>
      <t xml:space="preserve"> Event content creation and audience evaluation</t>
    </r>
  </si>
  <si>
    <r>
      <rPr>
        <b/>
        <sz val="10"/>
        <color theme="1"/>
        <rFont val="Clario Regular"/>
      </rPr>
      <t xml:space="preserve">Channel Enablement: </t>
    </r>
    <r>
      <rPr>
        <sz val="10"/>
        <color theme="1"/>
        <rFont val="Clario Regular"/>
      </rPr>
      <t>focus on how this is delivering enablement materials to channel (alerts, channel calls, creating Advisor pages, making content findable, etc)</t>
    </r>
  </si>
  <si>
    <r>
      <rPr>
        <b/>
        <sz val="10"/>
        <color theme="1"/>
        <rFont val="Clario Regular"/>
      </rPr>
      <t>Analytics:</t>
    </r>
    <r>
      <rPr>
        <sz val="10"/>
        <color theme="1"/>
        <rFont val="Clario Regular"/>
      </rPr>
      <t xml:space="preserve"> Competitive analysis, trends analysis, market size, win loss, and financial insights, adoption and penetration analysis</t>
    </r>
  </si>
  <si>
    <r>
      <t>Campaign Planning</t>
    </r>
    <r>
      <rPr>
        <sz val="10"/>
        <color theme="1"/>
        <rFont val="Clario Regular"/>
      </rPr>
      <t xml:space="preserve"> - strategy, buyers journey, channel mix</t>
    </r>
  </si>
  <si>
    <r>
      <t>Campaign Planning</t>
    </r>
    <r>
      <rPr>
        <sz val="10"/>
        <color theme="1"/>
        <rFont val="Clario Regular"/>
      </rPr>
      <t xml:space="preserve"> - budget management and forecasting</t>
    </r>
  </si>
  <si>
    <r>
      <t>Campaign Planning / Activation</t>
    </r>
    <r>
      <rPr>
        <sz val="10"/>
        <color theme="1"/>
        <rFont val="Clario Regular"/>
      </rPr>
      <t xml:space="preserve"> - campaign performance analysis and optimization</t>
    </r>
  </si>
  <si>
    <r>
      <t>Campaign Activation</t>
    </r>
    <r>
      <rPr>
        <sz val="10"/>
        <color theme="1"/>
        <rFont val="Clario Regular"/>
      </rPr>
      <t xml:space="preserve"> - tactical builds, coordination and project management</t>
    </r>
  </si>
  <si>
    <r>
      <t>Marketing Strategy</t>
    </r>
    <r>
      <rPr>
        <sz val="10"/>
        <color theme="1"/>
        <rFont val="Clario Regular"/>
      </rPr>
      <t xml:space="preserve"> - GTM strategies and targets, whitespace, audience targeting</t>
    </r>
  </si>
  <si>
    <r>
      <t>Field/ABM/Events</t>
    </r>
    <r>
      <rPr>
        <sz val="10"/>
        <color theme="1"/>
        <rFont val="Clario Regular"/>
      </rPr>
      <t xml:space="preserve"> - planning and execution, coordination with Sales</t>
    </r>
  </si>
  <si>
    <r>
      <t>Field/ABM/Events:</t>
    </r>
    <r>
      <rPr>
        <sz val="10"/>
        <color theme="1"/>
        <rFont val="Clario Regular"/>
      </rPr>
      <t xml:space="preserve"> Speaker/Attendee Coordination</t>
    </r>
  </si>
  <si>
    <r>
      <t xml:space="preserve">Field/ABM/Events: </t>
    </r>
    <r>
      <rPr>
        <sz val="10"/>
        <color theme="1"/>
        <rFont val="Clario Regular"/>
      </rPr>
      <t>Attendee Registration &amp; Management</t>
    </r>
  </si>
  <si>
    <r>
      <t xml:space="preserve">Content Creation / Asset Management / Productivity </t>
    </r>
    <r>
      <rPr>
        <sz val="10"/>
        <color theme="1"/>
        <rFont val="Clario Regular"/>
      </rPr>
      <t>-asset creation and mgnt, optimization</t>
    </r>
  </si>
  <si>
    <r>
      <t xml:space="preserve">Performance Reporting </t>
    </r>
    <r>
      <rPr>
        <sz val="10"/>
        <color theme="1"/>
        <rFont val="Clario Regular"/>
      </rPr>
      <t>- Data analysis &amp; modeling, Report creation &amp; visualization,</t>
    </r>
  </si>
  <si>
    <r>
      <t>Analytics &amp; Insights</t>
    </r>
    <r>
      <rPr>
        <sz val="10"/>
        <color theme="1"/>
        <rFont val="Clario Regular"/>
      </rPr>
      <t xml:space="preserve"> - Data analytics, performance and pipeline conversion</t>
    </r>
  </si>
  <si>
    <r>
      <t>OPS:</t>
    </r>
    <r>
      <rPr>
        <sz val="10"/>
        <color theme="1"/>
        <rFont val="Clario Regular"/>
      </rPr>
      <t xml:space="preserve"> Vendor &amp; Supplier Management</t>
    </r>
  </si>
  <si>
    <r>
      <t xml:space="preserve">Ops: </t>
    </r>
    <r>
      <rPr>
        <sz val="10"/>
        <color theme="1"/>
        <rFont val="Clario Regular"/>
      </rPr>
      <t>Budget Management</t>
    </r>
  </si>
  <si>
    <r>
      <t xml:space="preserve">Digital: </t>
    </r>
    <r>
      <rPr>
        <sz val="10"/>
        <color theme="1"/>
        <rFont val="Clario Regular"/>
      </rPr>
      <t>Paid Media Strategy, Planning and execution</t>
    </r>
  </si>
  <si>
    <r>
      <t>Digital:</t>
    </r>
    <r>
      <rPr>
        <sz val="10"/>
        <color theme="1"/>
        <rFont val="Clario Regular"/>
      </rPr>
      <t xml:space="preserve"> Paid Media Performance and Reporting</t>
    </r>
  </si>
  <si>
    <r>
      <t>Content Strategy</t>
    </r>
    <r>
      <rPr>
        <sz val="10"/>
        <color theme="1"/>
        <rFont val="Clario Regular"/>
      </rPr>
      <t xml:space="preserve"> - messaging, audience/persona, content mix, performance </t>
    </r>
  </si>
  <si>
    <r>
      <t xml:space="preserve">Content Development and Review: </t>
    </r>
    <r>
      <rPr>
        <sz val="10"/>
        <color theme="1"/>
        <rFont val="Clario Regular"/>
      </rPr>
      <t>Web, long form content and ad copy, review for DG/Prod Mkt and others</t>
    </r>
  </si>
  <si>
    <r>
      <rPr>
        <b/>
        <sz val="10"/>
        <color theme="1"/>
        <rFont val="Clario Regular"/>
      </rPr>
      <t>Organic:</t>
    </r>
    <r>
      <rPr>
        <sz val="10"/>
        <color theme="1"/>
        <rFont val="Clario Regular"/>
      </rPr>
      <t xml:space="preserve"> SEO optimization, Content creation, keyword research,</t>
    </r>
  </si>
  <si>
    <r>
      <rPr>
        <b/>
        <sz val="10"/>
        <color theme="1"/>
        <rFont val="Clario Regular"/>
      </rPr>
      <t>Organic:</t>
    </r>
    <r>
      <rPr>
        <sz val="10"/>
        <color theme="1"/>
        <rFont val="Clario Regular"/>
      </rPr>
      <t xml:space="preserve">  reporting, analysis and recommendations</t>
    </r>
  </si>
  <si>
    <r>
      <rPr>
        <b/>
        <sz val="10"/>
        <color theme="1"/>
        <rFont val="Clario Regular"/>
      </rPr>
      <t>Optimization/Personalization:</t>
    </r>
    <r>
      <rPr>
        <sz val="10"/>
        <color theme="1"/>
        <rFont val="Clario Regular"/>
      </rPr>
      <t xml:space="preserve"> Strategy, planning, execution and reporting on AB tests and personalizations</t>
    </r>
  </si>
  <si>
    <r>
      <rPr>
        <b/>
        <sz val="10"/>
        <color theme="1"/>
        <rFont val="Clario Regular"/>
      </rPr>
      <t>Audience Activation</t>
    </r>
    <r>
      <rPr>
        <sz val="10"/>
        <color theme="1"/>
        <rFont val="Clario Regular"/>
      </rPr>
      <t>: On demand audience creation and delivery using AAM and CDP</t>
    </r>
  </si>
  <si>
    <t>Function</t>
  </si>
  <si>
    <t>Top Activities</t>
  </si>
  <si>
    <t>Functional AI Tools</t>
  </si>
  <si>
    <t>Generic AI Tools</t>
  </si>
  <si>
    <t>Campaign Planning - strategy, buyers journey, channel mix</t>
  </si>
  <si>
    <t>None</t>
  </si>
  <si>
    <t>Campaign Activation - tactical builds, coordination and project management</t>
  </si>
  <si>
    <t>Demand Gen</t>
  </si>
  <si>
    <t>Product Marketing: Creating insight-driven messaging</t>
  </si>
  <si>
    <t>Open Arena, Copilot, Persona AI Assistant</t>
  </si>
  <si>
    <t>Product Marketing: Lead go-to-market for product launches</t>
  </si>
  <si>
    <t>Prod Marketing</t>
  </si>
  <si>
    <t>Copilot (analyst agent), Open Arena</t>
  </si>
  <si>
    <t>TRI</t>
  </si>
  <si>
    <t>Data Engineering, Integration, Normalization, QA, Publishing</t>
  </si>
  <si>
    <t>Tech &amp; Process Ownership: Own operational integrity and optimization of GTM platforms and workflows</t>
  </si>
  <si>
    <t>Content Creation / Asset Management / Productivity</t>
  </si>
  <si>
    <t>Content Strategy - messaging, audience/persona, content mix, editorial calendar, performance</t>
  </si>
  <si>
    <t>LatAm</t>
  </si>
  <si>
    <t>Web Operations: Adobe Publishing and Q&amp;A</t>
  </si>
  <si>
    <t>Digital Marketing</t>
  </si>
  <si>
    <t>Marketing Automation: Execution</t>
  </si>
  <si>
    <t>Adobe Creative Cloud, Adobe Express, Adobe Firefly</t>
  </si>
  <si>
    <t>Creative - Design</t>
  </si>
  <si>
    <t>(AEM Corporate) Campaign Planning - strategy, buyers journey, channel mix</t>
  </si>
  <si>
    <t>Meltwater, Bombora</t>
  </si>
  <si>
    <t>M365 Copilot, Persona AI Assistant</t>
  </si>
  <si>
    <t>AEM</t>
  </si>
  <si>
    <t>Outreach Smart Email Assist, Genesys AI (pending)</t>
  </si>
  <si>
    <t>BDR</t>
  </si>
  <si>
    <t>Content Asset Creation (i.e., blogs, partner marketing assets)</t>
  </si>
  <si>
    <t>TR Open Arena, M365 Copilot, DG Persona Agent</t>
  </si>
  <si>
    <t>Partner Mktg Planning &amp; Activation (i.e., GTM, Campaign Planning, Tactical Activation)</t>
  </si>
  <si>
    <t>TR Open Arena, M365 Copilot Research</t>
  </si>
  <si>
    <t>Partner Marketing</t>
  </si>
  <si>
    <t>Total FTE</t>
  </si>
  <si>
    <t>Common Activity</t>
  </si>
  <si>
    <t>Teams Involved</t>
  </si>
  <si>
    <t>Functional AI Tools Used</t>
  </si>
  <si>
    <t>Generic AI Tools Used</t>
  </si>
  <si>
    <t>Content Creation / Asset Management</t>
  </si>
  <si>
    <t>Demand Generation, Product Marketing, LATAM, Digital Marketing, Creative-Design, AEM, Partner Marketing</t>
  </si>
  <si>
    <t>Writer, Adobe Creative Cloud, Clipchamp, Adobe Express, GCS Content Console, Content Craft</t>
  </si>
  <si>
    <t>Open Arena, Copilot, Persona AI Assistant, DG Persona Agent, M365 Copilot</t>
  </si>
  <si>
    <t>Campaign Planning (strategy, buyers journey, channel mix)</t>
  </si>
  <si>
    <t>Demand Generation, LATAM, AEM, Partner Marketing</t>
  </si>
  <si>
    <t>Stensul, ON24, Eloqua, 6sense, Meltwater, Bombora</t>
  </si>
  <si>
    <t>Open Arena, Persona AI Assistant, M365 Copilot</t>
  </si>
  <si>
    <t>Events, LATAM, AEM</t>
  </si>
  <si>
    <t>Smartsheet, Teams, Certain, ON24, Eloqua, 6sense</t>
  </si>
  <si>
    <t>Open Arena, M365 Copilot</t>
  </si>
  <si>
    <t>Data Analysis &amp; Reporting</t>
  </si>
  <si>
    <t>Ops &amp; Analytics, TRI, Digital Marketing, BDR, Partner Marketing</t>
  </si>
  <si>
    <t>Alteryx, SQL, Python, DBT, Askia/Codeit, Tableau, Power BI, DataRobot, Copilot, OMG AI Assist</t>
  </si>
  <si>
    <t>Open Arena, Copilot, Power BI AI, Tableau AI</t>
  </si>
  <si>
    <t>Performance Analysis &amp; Optimization</t>
  </si>
  <si>
    <t>Demand Generation, LATAM, Digital Marketing, AEM, Ops &amp; Analytics, BDR</t>
  </si>
  <si>
    <t>Treasure Data AI Agent, Platform (Google/Bing) Dynamic Ad Optimization, 6sense</t>
  </si>
  <si>
    <t>Digital Marketing, Creative-Design, Events, Ops &amp; Analytics, Partner Marketing</t>
  </si>
  <si>
    <t>Monday.com AI, Asana Intelligence, Workfront, Slack AI, Hootsuite/Talkwalker</t>
  </si>
  <si>
    <t>Open Arena, Copilot, Teams Premium</t>
  </si>
  <si>
    <t>Product Marketing, LATAM, Digital Marketing, AEM</t>
  </si>
  <si>
    <t>Demand Generation</t>
  </si>
  <si>
    <t>LATAM</t>
  </si>
  <si>
    <t>Creative-Design</t>
  </si>
  <si>
    <t>Writer, OpenArena, Persona AI Assistant, Copilot</t>
  </si>
  <si>
    <t>Writer, Product Marketing Research Agent, OpenArena, Copilot, Persona AI Assistant</t>
  </si>
  <si>
    <t>Writer, Open Arena, AI Persona Assistant</t>
  </si>
  <si>
    <t>Outreach Smart Email Assist, Genesys AI (pending), Open Arena</t>
  </si>
  <si>
    <t>WRITER, TR Open Arena, M365 Copilot, DG Persona Agent</t>
  </si>
  <si>
    <t>Campaign Planning</t>
  </si>
  <si>
    <t>Smartsheet, Teams, TR Open Arena</t>
  </si>
  <si>
    <t>OpenArena, AI Persona Assistant</t>
  </si>
  <si>
    <t>Meltwater, Bombora, M365 Copilot, Persona AI Assistant</t>
  </si>
  <si>
    <t>Certain, Persona AI Assistant</t>
  </si>
  <si>
    <t>Certain, OpenArena, Persona AI Assistant</t>
  </si>
  <si>
    <t>Alteryx, SQL, Python, DBT, Tableau, Power BI, DataRobot, OMG AI Assist, OpenArena, Copilot, Power BI AI, Tableau AI</t>
  </si>
  <si>
    <t>Copilot, OpenArena, Power BI AI</t>
  </si>
  <si>
    <t>Treasure Data AI Agent, Bombora, Tableau AI</t>
  </si>
  <si>
    <t>OpenArena, Copilot, ChatGPT</t>
  </si>
  <si>
    <t>Smartsheet, TR Open Arena</t>
  </si>
  <si>
    <t>Workfront Planning, Python scripts, ADO API, OpenArena, Copilot</t>
  </si>
  <si>
    <t>TR Open Arena, MS365</t>
  </si>
  <si>
    <t>Writer, OpenArena, Copilot, Persona AI Assistant</t>
  </si>
  <si>
    <t>WriterAI, Ask GPT 4.1, Ask Gemini, Ask Claude 4 Sonnet</t>
  </si>
  <si>
    <t>Writer, Adobe Creative Cloud, Adobe Firefly, TR Open Arena, M365 Copilot</t>
  </si>
  <si>
    <r>
      <rPr>
        <b/>
        <sz val="10"/>
        <color rgb="FFFF0000"/>
        <rFont val="Clario"/>
        <family val="2"/>
      </rPr>
      <t>ElevenLabs</t>
    </r>
    <r>
      <rPr>
        <sz val="10"/>
        <color rgb="FF212223"/>
        <rFont val="Clario"/>
        <family val="2"/>
      </rPr>
      <t>, OpenArena, Copilot, ChatGPT</t>
    </r>
  </si>
  <si>
    <r>
      <rPr>
        <b/>
        <sz val="10"/>
        <color rgb="FFFF0000"/>
        <rFont val="Clario"/>
        <family val="2"/>
      </rPr>
      <t>Certain</t>
    </r>
    <r>
      <rPr>
        <sz val="10"/>
        <color rgb="FF212223"/>
        <rFont val="Clario"/>
        <family val="2"/>
      </rPr>
      <t>, Smartsheet, OpenArena</t>
    </r>
  </si>
  <si>
    <r>
      <t xml:space="preserve">GCS Content Console, </t>
    </r>
    <r>
      <rPr>
        <b/>
        <sz val="10"/>
        <color rgb="FFFF0000"/>
        <rFont val="Clario"/>
        <family val="2"/>
      </rPr>
      <t>Content Craft</t>
    </r>
    <r>
      <rPr>
        <sz val="10"/>
        <color rgb="FF212223"/>
        <rFont val="Clario"/>
        <family val="2"/>
      </rPr>
      <t>, OpenArena, M365 Copilot</t>
    </r>
  </si>
  <si>
    <r>
      <rPr>
        <b/>
        <sz val="10"/>
        <color rgb="FFFF0000"/>
        <rFont val="Clario"/>
        <family val="2"/>
      </rPr>
      <t>Adobe Creative Cloud, Clipchamp, Adobe Express</t>
    </r>
    <r>
      <rPr>
        <sz val="10"/>
        <color rgb="FF212223"/>
        <rFont val="Clario"/>
        <family val="2"/>
      </rPr>
      <t>, OpenArena</t>
    </r>
  </si>
  <si>
    <t>WriterAI,Open Arena</t>
  </si>
  <si>
    <r>
      <t xml:space="preserve">Writer, </t>
    </r>
    <r>
      <rPr>
        <b/>
        <sz val="10"/>
        <color rgb="FFFF0000"/>
        <rFont val="Clario"/>
        <family val="2"/>
      </rPr>
      <t>Adobe Creative Cloud, Adobe Express, Adobe Firefly,</t>
    </r>
    <r>
      <rPr>
        <sz val="10"/>
        <color rgb="FF212223"/>
        <rFont val="Clario"/>
        <family val="2"/>
      </rPr>
      <t xml:space="preserve"> TR Open Arena, M365 Copilot</t>
    </r>
  </si>
  <si>
    <t xml:space="preserve"> DataRobot, Alteryx A</t>
  </si>
  <si>
    <t>Tableau AI, Power BI AI, Copilot</t>
  </si>
  <si>
    <t>Treasure Data AI Agent, OpenArena, Data Robot</t>
  </si>
  <si>
    <r>
      <rPr>
        <b/>
        <sz val="10"/>
        <color rgb="FFFF0000"/>
        <rFont val="Clario"/>
        <family val="2"/>
      </rPr>
      <t>Gong, Clozd,</t>
    </r>
    <r>
      <rPr>
        <sz val="10"/>
        <color rgb="FF212223"/>
        <rFont val="Clario"/>
        <family val="2"/>
      </rPr>
      <t xml:space="preserve"> OpenArena, Copilot, Tableau AI</t>
    </r>
  </si>
  <si>
    <r>
      <rPr>
        <b/>
        <sz val="10"/>
        <color rgb="FFFF0000"/>
        <rFont val="Clario"/>
        <family val="2"/>
      </rPr>
      <t>Askia/Codeit</t>
    </r>
    <r>
      <rPr>
        <sz val="10"/>
        <color rgb="FF212223"/>
        <rFont val="Clario"/>
        <family val="2"/>
      </rPr>
      <t>, Copilot (analyst agent), OpenArena, ChatGPT</t>
    </r>
  </si>
  <si>
    <r>
      <rPr>
        <b/>
        <sz val="10"/>
        <color rgb="FFFF0000"/>
        <rFont val="Clario"/>
        <family val="2"/>
      </rPr>
      <t>Forsta</t>
    </r>
    <r>
      <rPr>
        <sz val="10"/>
        <color rgb="FF212223"/>
        <rFont val="Clario"/>
        <family val="2"/>
      </rPr>
      <t>, Power BI, Smartsheet, TR Open Arena, M365 Copilot</t>
    </r>
  </si>
  <si>
    <r>
      <t xml:space="preserve">Teams AI, OpenArena, </t>
    </r>
    <r>
      <rPr>
        <b/>
        <sz val="10"/>
        <color rgb="FFFF0000"/>
        <rFont val="Clario"/>
        <family val="2"/>
      </rPr>
      <t>Notion</t>
    </r>
  </si>
  <si>
    <r>
      <rPr>
        <b/>
        <sz val="10"/>
        <color rgb="FFFF0000"/>
        <rFont val="Clario"/>
        <family val="2"/>
      </rPr>
      <t>Monday.com AI, Asana Intelligence</t>
    </r>
    <r>
      <rPr>
        <sz val="10"/>
        <color rgb="FF212223"/>
        <rFont val="Clario"/>
        <family val="2"/>
      </rPr>
      <t>, Slack AI</t>
    </r>
  </si>
  <si>
    <r>
      <rPr>
        <b/>
        <sz val="10"/>
        <color rgb="FFFF0000"/>
        <rFont val="Clario"/>
        <family val="2"/>
      </rPr>
      <t>Workfront, Hootsuite/Talkwalker</t>
    </r>
    <r>
      <rPr>
        <sz val="10"/>
        <color rgb="FF212223"/>
        <rFont val="Clario"/>
        <family val="2"/>
      </rPr>
      <t>, TR Open Arena, M365 Copilot</t>
    </r>
  </si>
  <si>
    <r>
      <rPr>
        <b/>
        <sz val="10"/>
        <color rgb="FFFF0000"/>
        <rFont val="Clario"/>
        <family val="2"/>
      </rPr>
      <t>ON24, Eloqua, Stensul</t>
    </r>
    <r>
      <rPr>
        <sz val="10"/>
        <color rgb="FF212223"/>
        <rFont val="Clario"/>
        <family val="2"/>
      </rPr>
      <t>, Open Arena, Copilot</t>
    </r>
  </si>
  <si>
    <r>
      <rPr>
        <b/>
        <sz val="10"/>
        <color rgb="FFFF0000"/>
        <rFont val="Clario"/>
        <family val="2"/>
      </rPr>
      <t>Stensul, ON24, Eloqua</t>
    </r>
    <r>
      <rPr>
        <sz val="10"/>
        <color rgb="FF212223"/>
        <rFont val="Clario"/>
        <family val="2"/>
      </rPr>
      <t>, 6sense, OpenArena, Persona AI Assistant</t>
    </r>
  </si>
  <si>
    <t>AI accelerated: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</si>
</sst>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8">
    <font>
      <sz val="12"/>
      <color theme="1"/>
      <name val="Aptos Narrow"/>
      <family val="2"/>
      <scheme val="minor"/>
    </font>
    <font>
      <b/>
      <sz val="10"/>
      <color theme="1"/>
      <name val="Clario Regular"/>
    </font>
    <font>
      <sz val="10"/>
      <color theme="1"/>
      <name val="Clario Regular"/>
    </font>
    <font>
      <b/>
      <sz val="10"/>
      <color rgb="FF000000"/>
      <name val="Clario Regular"/>
    </font>
    <font>
      <sz val="10"/>
      <color rgb="FF000000"/>
      <name val="Clario Regular"/>
    </font>
    <font>
      <sz val="10"/>
      <color rgb="FF000000"/>
      <name val="Clario"/>
    </font>
    <font>
      <b/>
      <u/>
      <sz val="10"/>
      <color theme="1"/>
      <name val="Clario Regular"/>
    </font>
    <font>
      <sz val="12"/>
      <color theme="1"/>
      <name val="Aptos Narrow"/>
      <family val="2"/>
      <scheme val="minor"/>
    </font>
    <font>
      <b/>
      <i/>
      <sz val="10"/>
      <color theme="1"/>
      <name val="Clario Regular"/>
    </font>
    <font>
      <i/>
      <sz val="10"/>
      <color theme="1"/>
      <name val="Clario Regular"/>
    </font>
    <font>
      <sz val="9"/>
      <color indexed="81"/>
      <name val="Tahoma"/>
      <family val="2"/>
    </font>
    <font>
      <b/>
      <sz val="9"/>
      <color indexed="81"/>
      <name val="Tahoma"/>
      <family val="2"/>
    </font>
    <font>
      <sz val="10"/>
      <color rgb="FF000000"/>
      <name val="Clario"/>
      <family val="2"/>
    </font>
    <font>
      <sz val="10"/>
      <color theme="1"/>
      <name val="Clario"/>
    </font>
    <font>
      <sz val="9"/>
      <color theme="1"/>
      <name val="Clario Regular"/>
    </font>
    <font>
      <b/>
      <sz val="10"/>
      <color rgb="FF000000"/>
      <name val="Clario"/>
      <family val="2"/>
    </font>
    <font>
      <b/>
      <sz val="10"/>
      <color theme="1"/>
      <name val="Clario"/>
      <family val="2"/>
    </font>
    <font>
      <sz val="10"/>
      <color theme="1"/>
      <name val="Clario"/>
      <family val="2"/>
    </font>
    <font>
      <sz val="8"/>
      <color theme="1"/>
      <name val="Clario Regular"/>
    </font>
    <font>
      <b/>
      <sz val="11"/>
      <color theme="1"/>
      <name val="Aptos Narrow"/>
      <family val="2"/>
    </font>
    <font>
      <sz val="11"/>
      <color theme="1"/>
      <name val="Aptos Narrow"/>
      <family val="2"/>
    </font>
    <font>
      <strike/>
      <sz val="10"/>
      <color theme="1"/>
      <name val="Clario Regular"/>
    </font>
    <font>
      <sz val="11"/>
      <color theme="1"/>
      <name val="Aptos Display"/>
      <family val="2"/>
    </font>
    <font>
      <sz val="10"/>
      <color theme="1"/>
      <name val="Clario Regular"/>
      <charset val="1"/>
    </font>
    <font>
      <b/>
      <sz val="10"/>
      <color rgb="FF212223"/>
      <name val="Clario"/>
      <family val="2"/>
    </font>
    <font>
      <sz val="10"/>
      <color rgb="FF212223"/>
      <name val="Clario"/>
      <family val="2"/>
    </font>
    <font>
      <b/>
      <sz val="10"/>
      <color rgb="FFFF0000"/>
      <name val="Clario"/>
      <family val="2"/>
    </font>
    <font>
      <b/>
      <sz val="12"/>
      <color theme="1"/>
      <name val="Aptos Narrow"/>
      <family val="2"/>
      <scheme val="minor"/>
    </font>
  </fonts>
  <fills count="18">
    <fill>
      <patternFill patternType="none"/>
    </fill>
    <fill>
      <patternFill patternType="gray125"/>
    </fill>
    <fill>
      <patternFill patternType="solid">
        <fgColor rgb="FFFAFAFA"/>
        <bgColor indexed="64"/>
      </patternFill>
    </fill>
    <fill>
      <patternFill patternType="solid">
        <fgColor theme="0" tint="-0.249977111117893"/>
        <bgColor indexed="64"/>
      </patternFill>
    </fill>
    <fill>
      <patternFill patternType="solid">
        <fgColor rgb="FF00B0F0"/>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FAFAFA"/>
        <bgColor rgb="FF000000"/>
      </patternFill>
    </fill>
    <fill>
      <patternFill patternType="solid">
        <fgColor theme="4" tint="0.79998168889431442"/>
        <bgColor indexed="64"/>
      </patternFill>
    </fill>
    <fill>
      <patternFill patternType="solid">
        <fgColor rgb="FFBFBFBF"/>
        <bgColor rgb="FF000000"/>
      </patternFill>
    </fill>
    <fill>
      <patternFill patternType="solid">
        <fgColor rgb="FFFFFF00"/>
        <bgColor rgb="FF000000"/>
      </patternFill>
    </fill>
    <fill>
      <patternFill patternType="solid">
        <fgColor rgb="FFD0D0D0"/>
        <bgColor rgb="FF000000"/>
      </patternFill>
    </fill>
    <fill>
      <patternFill patternType="solid">
        <fgColor rgb="FF00B0F0"/>
        <bgColor rgb="FF000000"/>
      </patternFill>
    </fill>
    <fill>
      <patternFill patternType="solid">
        <fgColor rgb="FFF2F2F2"/>
        <bgColor rgb="FF000000"/>
      </patternFill>
    </fill>
    <fill>
      <patternFill patternType="solid">
        <fgColor theme="7"/>
        <bgColor indexed="64"/>
      </patternFill>
    </fill>
    <fill>
      <patternFill patternType="solid">
        <fgColor theme="0"/>
        <bgColor rgb="FF000000"/>
      </patternFill>
    </fill>
    <fill>
      <patternFill patternType="solid">
        <fgColor theme="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medium">
        <color rgb="FF737373"/>
      </left>
      <right style="medium">
        <color rgb="FF737373"/>
      </right>
      <top style="medium">
        <color rgb="FF737373"/>
      </top>
      <bottom style="medium">
        <color rgb="FF737373"/>
      </bottom>
      <diagonal/>
    </border>
  </borders>
  <cellStyleXfs count="2">
    <xf numFmtId="0" fontId="0" fillId="0" borderId="0"/>
    <xf numFmtId="9" fontId="7" fillId="0" borderId="0" applyFont="0" applyFill="0" applyBorder="0" applyAlignment="0" applyProtection="0"/>
  </cellStyleXfs>
  <cellXfs count="171">
    <xf numFmtId="0" fontId="0" fillId="0" borderId="0" xfId="0"/>
    <xf numFmtId="0" fontId="1" fillId="3" borderId="1" xfId="0" applyFont="1" applyFill="1" applyBorder="1" applyAlignment="1">
      <alignment horizontal="center" vertical="center" wrapText="1" readingOrder="1"/>
    </xf>
    <xf numFmtId="0" fontId="2" fillId="2" borderId="1" xfId="0" applyFont="1" applyFill="1" applyBorder="1" applyAlignment="1">
      <alignment horizontal="left" vertical="center" wrapText="1" readingOrder="1"/>
    </xf>
    <xf numFmtId="0" fontId="1" fillId="4" borderId="1" xfId="0" applyFont="1" applyFill="1" applyBorder="1" applyAlignment="1">
      <alignment horizontal="center" vertical="center" wrapText="1" readingOrder="1"/>
    </xf>
    <xf numFmtId="0" fontId="2" fillId="0" borderId="0" xfId="0" applyFont="1" applyAlignment="1">
      <alignment horizontal="center" vertical="center"/>
    </xf>
    <xf numFmtId="0" fontId="2" fillId="0" borderId="0" xfId="0" applyFont="1" applyAlignment="1">
      <alignment vertical="center"/>
    </xf>
    <xf numFmtId="0" fontId="4" fillId="0" borderId="1" xfId="0" applyFont="1" applyBorder="1" applyAlignment="1">
      <alignment horizontal="left" vertical="center" wrapText="1" readingOrder="1"/>
    </xf>
    <xf numFmtId="0" fontId="4" fillId="0" borderId="1" xfId="0" applyFont="1" applyBorder="1" applyAlignment="1">
      <alignment horizontal="center" vertical="center" wrapText="1" readingOrder="1"/>
    </xf>
    <xf numFmtId="0" fontId="3" fillId="3" borderId="1" xfId="0" applyFont="1" applyFill="1" applyBorder="1" applyAlignment="1">
      <alignment horizontal="center" vertical="center" wrapText="1" readingOrder="1"/>
    </xf>
    <xf numFmtId="0" fontId="3" fillId="4" borderId="1" xfId="0" applyFont="1" applyFill="1" applyBorder="1" applyAlignment="1">
      <alignment horizontal="center" vertical="center" wrapText="1" readingOrder="1"/>
    </xf>
    <xf numFmtId="0" fontId="6" fillId="0" borderId="0" xfId="0" applyFont="1" applyAlignment="1">
      <alignment vertical="center"/>
    </xf>
    <xf numFmtId="10" fontId="1" fillId="0" borderId="0" xfId="1" applyNumberFormat="1" applyFont="1" applyAlignment="1">
      <alignment vertical="center"/>
    </xf>
    <xf numFmtId="0" fontId="2" fillId="2" borderId="1" xfId="0" quotePrefix="1" applyFont="1" applyFill="1" applyBorder="1" applyAlignment="1">
      <alignment horizontal="center" vertical="center" wrapText="1" readingOrder="1"/>
    </xf>
    <xf numFmtId="9" fontId="2" fillId="2" borderId="1" xfId="1" applyFont="1" applyFill="1" applyBorder="1" applyAlignment="1">
      <alignment horizontal="center" vertical="center" wrapText="1" readingOrder="1"/>
    </xf>
    <xf numFmtId="164" fontId="2" fillId="2" borderId="1" xfId="1" applyNumberFormat="1" applyFont="1" applyFill="1" applyBorder="1" applyAlignment="1">
      <alignment horizontal="center" vertical="center" wrapText="1" readingOrder="1"/>
    </xf>
    <xf numFmtId="164" fontId="1" fillId="4" borderId="1" xfId="0" applyNumberFormat="1" applyFont="1" applyFill="1" applyBorder="1" applyAlignment="1">
      <alignment horizontal="center" vertical="center" wrapText="1" readingOrder="1"/>
    </xf>
    <xf numFmtId="0" fontId="2" fillId="0" borderId="1" xfId="0" quotePrefix="1" applyFont="1" applyBorder="1" applyAlignment="1">
      <alignment horizontal="center" vertical="center" wrapText="1" readingOrder="1"/>
    </xf>
    <xf numFmtId="0" fontId="2" fillId="0" borderId="1" xfId="0" applyFont="1" applyBorder="1" applyAlignment="1">
      <alignment horizontal="left" vertical="center" wrapText="1" readingOrder="1"/>
    </xf>
    <xf numFmtId="0" fontId="2" fillId="0" borderId="1" xfId="0" applyFont="1" applyBorder="1" applyAlignment="1">
      <alignment horizontal="center" vertical="center" wrapText="1" readingOrder="1"/>
    </xf>
    <xf numFmtId="0" fontId="1" fillId="2" borderId="1" xfId="0" applyFont="1" applyFill="1" applyBorder="1" applyAlignment="1">
      <alignment horizontal="left" vertical="center" wrapText="1" readingOrder="1"/>
    </xf>
    <xf numFmtId="0" fontId="4" fillId="0" borderId="0" xfId="0" applyFont="1" applyAlignment="1">
      <alignment horizontal="left" vertical="center" wrapText="1" readingOrder="1"/>
    </xf>
    <xf numFmtId="0" fontId="4" fillId="0" borderId="0" xfId="0" applyFont="1" applyAlignment="1">
      <alignment horizontal="center" vertical="center" wrapText="1" readingOrder="1"/>
    </xf>
    <xf numFmtId="0" fontId="3" fillId="0" borderId="0" xfId="0" applyFont="1" applyAlignment="1">
      <alignment horizontal="center" vertical="center" wrapText="1" readingOrder="1"/>
    </xf>
    <xf numFmtId="0" fontId="9" fillId="0" borderId="0" xfId="0" applyFont="1" applyAlignment="1">
      <alignment vertical="center"/>
    </xf>
    <xf numFmtId="0" fontId="2" fillId="2" borderId="1" xfId="0" applyFont="1" applyFill="1" applyBorder="1" applyAlignment="1">
      <alignment horizontal="center" vertical="center" wrapText="1" readingOrder="1"/>
    </xf>
    <xf numFmtId="0" fontId="2" fillId="2" borderId="1" xfId="0" applyFont="1" applyFill="1" applyBorder="1" applyAlignment="1">
      <alignment horizontal="left" vertical="center" readingOrder="1"/>
    </xf>
    <xf numFmtId="0" fontId="1" fillId="4" borderId="1" xfId="0" applyFont="1" applyFill="1" applyBorder="1" applyAlignment="1">
      <alignment horizontal="left" vertical="center" readingOrder="1"/>
    </xf>
    <xf numFmtId="0" fontId="2" fillId="2" borderId="1" xfId="0" quotePrefix="1" applyFont="1" applyFill="1" applyBorder="1" applyAlignment="1">
      <alignment horizontal="left" vertical="center" wrapText="1" readingOrder="1"/>
    </xf>
    <xf numFmtId="165" fontId="1" fillId="0" borderId="1" xfId="1" applyNumberFormat="1" applyFont="1" applyBorder="1" applyAlignment="1">
      <alignment horizontal="center" vertical="center" wrapText="1" readingOrder="1"/>
    </xf>
    <xf numFmtId="0" fontId="1" fillId="0" borderId="1" xfId="0" applyFont="1" applyBorder="1" applyAlignment="1">
      <alignment horizontal="center" vertical="center" wrapText="1" readingOrder="1"/>
    </xf>
    <xf numFmtId="9" fontId="1" fillId="3" borderId="1" xfId="1" applyFont="1" applyFill="1" applyBorder="1" applyAlignment="1">
      <alignment horizontal="center" vertical="center" wrapText="1" readingOrder="1"/>
    </xf>
    <xf numFmtId="9" fontId="1" fillId="4" borderId="1" xfId="1" applyFont="1" applyFill="1" applyBorder="1" applyAlignment="1">
      <alignment horizontal="center" vertical="center" wrapText="1" readingOrder="1"/>
    </xf>
    <xf numFmtId="0" fontId="1" fillId="0" borderId="0" xfId="0" applyFont="1" applyAlignment="1">
      <alignment horizontal="center" vertical="center" wrapText="1" readingOrder="1"/>
    </xf>
    <xf numFmtId="0" fontId="2" fillId="0" borderId="0" xfId="0" applyFont="1" applyAlignment="1">
      <alignment horizontal="center" vertical="center" wrapText="1"/>
    </xf>
    <xf numFmtId="0" fontId="2" fillId="0" borderId="0" xfId="0" applyFont="1" applyAlignment="1">
      <alignment vertical="center" wrapText="1"/>
    </xf>
    <xf numFmtId="10" fontId="1" fillId="0" borderId="0" xfId="1" applyNumberFormat="1" applyFont="1" applyAlignment="1">
      <alignment vertical="center" wrapText="1"/>
    </xf>
    <xf numFmtId="0" fontId="6" fillId="0" borderId="0" xfId="0" applyFont="1" applyAlignment="1">
      <alignment vertical="center" wrapText="1"/>
    </xf>
    <xf numFmtId="9" fontId="2" fillId="0" borderId="0" xfId="1" applyFont="1" applyAlignment="1">
      <alignment vertical="center" wrapText="1"/>
    </xf>
    <xf numFmtId="0" fontId="2" fillId="0" borderId="0" xfId="1" applyNumberFormat="1" applyFont="1" applyAlignment="1">
      <alignment horizontal="center" vertical="center" wrapText="1"/>
    </xf>
    <xf numFmtId="1" fontId="1" fillId="0" borderId="0" xfId="1" applyNumberFormat="1" applyFont="1" applyAlignment="1">
      <alignment horizontal="center" vertical="center" wrapText="1"/>
    </xf>
    <xf numFmtId="0" fontId="4" fillId="2" borderId="1" xfId="0" applyFont="1" applyFill="1" applyBorder="1" applyAlignment="1">
      <alignment horizontal="left" vertical="center" wrapText="1" readingOrder="1"/>
    </xf>
    <xf numFmtId="0" fontId="8" fillId="0" borderId="0" xfId="0" applyFont="1" applyAlignment="1">
      <alignment vertical="center"/>
    </xf>
    <xf numFmtId="0" fontId="2" fillId="0" borderId="1" xfId="0" applyFont="1" applyBorder="1" applyAlignment="1">
      <alignment vertical="center"/>
    </xf>
    <xf numFmtId="0" fontId="1" fillId="6" borderId="1" xfId="0" applyFont="1" applyFill="1" applyBorder="1" applyAlignment="1">
      <alignment horizontal="center" vertical="center"/>
    </xf>
    <xf numFmtId="0" fontId="2" fillId="0" borderId="1" xfId="0" applyFont="1" applyBorder="1" applyAlignment="1">
      <alignment horizontal="left" vertical="center"/>
    </xf>
    <xf numFmtId="10" fontId="1" fillId="0" borderId="0" xfId="1" applyNumberFormat="1" applyFont="1" applyBorder="1" applyAlignment="1">
      <alignment vertical="center"/>
    </xf>
    <xf numFmtId="10" fontId="1" fillId="0" borderId="0" xfId="1" applyNumberFormat="1" applyFont="1" applyFill="1" applyBorder="1" applyAlignment="1">
      <alignment vertical="center"/>
    </xf>
    <xf numFmtId="0" fontId="2" fillId="0" borderId="1" xfId="0" applyFont="1" applyBorder="1" applyAlignment="1">
      <alignment vertical="center" wrapText="1" readingOrder="1"/>
    </xf>
    <xf numFmtId="0" fontId="2" fillId="2" borderId="1" xfId="0" applyFont="1" applyFill="1" applyBorder="1" applyAlignment="1">
      <alignment vertical="center" wrapText="1" readingOrder="1"/>
    </xf>
    <xf numFmtId="0" fontId="2" fillId="0" borderId="1" xfId="0" applyFont="1" applyBorder="1" applyAlignment="1">
      <alignment vertical="center" wrapText="1"/>
    </xf>
    <xf numFmtId="9" fontId="2" fillId="0" borderId="0" xfId="0" applyNumberFormat="1" applyFont="1" applyAlignment="1">
      <alignment vertical="center"/>
    </xf>
    <xf numFmtId="1" fontId="2" fillId="2" borderId="1" xfId="1" applyNumberFormat="1" applyFont="1" applyFill="1" applyBorder="1" applyAlignment="1">
      <alignment horizontal="center" vertical="center" wrapText="1" readingOrder="1"/>
    </xf>
    <xf numFmtId="2" fontId="2" fillId="2" borderId="1" xfId="1" applyNumberFormat="1" applyFont="1" applyFill="1" applyBorder="1" applyAlignment="1">
      <alignment horizontal="center" vertical="center" wrapText="1" readingOrder="1"/>
    </xf>
    <xf numFmtId="165" fontId="2" fillId="2" borderId="1" xfId="1" applyNumberFormat="1" applyFont="1" applyFill="1" applyBorder="1" applyAlignment="1">
      <alignment horizontal="center" vertical="center" wrapText="1" readingOrder="1"/>
    </xf>
    <xf numFmtId="0" fontId="2" fillId="0" borderId="1" xfId="0" quotePrefix="1" applyFont="1" applyBorder="1" applyAlignment="1">
      <alignment horizontal="left" vertical="center" wrapText="1" readingOrder="1"/>
    </xf>
    <xf numFmtId="0" fontId="4" fillId="5" borderId="1" xfId="0" applyFont="1" applyFill="1" applyBorder="1" applyAlignment="1">
      <alignment horizontal="left" vertical="center" wrapText="1" readingOrder="1"/>
    </xf>
    <xf numFmtId="0" fontId="4" fillId="5" borderId="1" xfId="0" applyFont="1" applyFill="1" applyBorder="1" applyAlignment="1">
      <alignment horizontal="center" vertical="center" wrapText="1" readingOrder="1"/>
    </xf>
    <xf numFmtId="0" fontId="1" fillId="5" borderId="1" xfId="0" applyFont="1" applyFill="1" applyBorder="1" applyAlignment="1">
      <alignment horizontal="center" vertical="center" wrapText="1" readingOrder="1"/>
    </xf>
    <xf numFmtId="0" fontId="2" fillId="8" borderId="1" xfId="0" applyFont="1" applyFill="1" applyBorder="1" applyAlignment="1">
      <alignment horizontal="left" vertical="center" wrapText="1" readingOrder="1"/>
    </xf>
    <xf numFmtId="0" fontId="8" fillId="8" borderId="1" xfId="0" applyFont="1" applyFill="1" applyBorder="1" applyAlignment="1">
      <alignment horizontal="left" vertical="center" wrapText="1" readingOrder="1"/>
    </xf>
    <xf numFmtId="9" fontId="2" fillId="8" borderId="1" xfId="1" applyFont="1" applyFill="1" applyBorder="1" applyAlignment="1">
      <alignment horizontal="left" vertical="center" wrapText="1" readingOrder="1"/>
    </xf>
    <xf numFmtId="9" fontId="2" fillId="2" borderId="1" xfId="1" applyFont="1" applyFill="1" applyBorder="1" applyAlignment="1">
      <alignment horizontal="left" vertical="center" wrapText="1" readingOrder="1"/>
    </xf>
    <xf numFmtId="0" fontId="1" fillId="0" borderId="0" xfId="0" applyFont="1" applyAlignment="1">
      <alignment vertical="center"/>
    </xf>
    <xf numFmtId="9" fontId="2" fillId="2" borderId="1" xfId="0" applyNumberFormat="1" applyFont="1" applyFill="1" applyBorder="1" applyAlignment="1">
      <alignment horizontal="center" vertical="center" wrapText="1" readingOrder="1"/>
    </xf>
    <xf numFmtId="9" fontId="1" fillId="4" borderId="1" xfId="0" applyNumberFormat="1" applyFont="1" applyFill="1" applyBorder="1" applyAlignment="1">
      <alignment horizontal="center" vertical="center" wrapText="1" readingOrder="1"/>
    </xf>
    <xf numFmtId="0" fontId="3" fillId="4" borderId="2" xfId="0" applyFont="1" applyFill="1" applyBorder="1" applyAlignment="1">
      <alignment horizontal="center" vertical="center" wrapText="1" readingOrder="1"/>
    </xf>
    <xf numFmtId="0" fontId="2" fillId="0" borderId="1" xfId="0" quotePrefix="1" applyFont="1" applyBorder="1" applyAlignment="1">
      <alignment vertical="center" wrapText="1" readingOrder="1"/>
    </xf>
    <xf numFmtId="9" fontId="13" fillId="2" borderId="1" xfId="1" applyFont="1" applyFill="1" applyBorder="1" applyAlignment="1">
      <alignment horizontal="center" vertical="center" wrapText="1" readingOrder="1"/>
    </xf>
    <xf numFmtId="164" fontId="13" fillId="2" borderId="1" xfId="1" applyNumberFormat="1" applyFont="1" applyFill="1" applyBorder="1" applyAlignment="1">
      <alignment horizontal="center" vertical="center" wrapText="1" readingOrder="1"/>
    </xf>
    <xf numFmtId="0" fontId="13" fillId="2" borderId="1" xfId="0" applyFont="1" applyFill="1" applyBorder="1" applyAlignment="1">
      <alignment horizontal="left" vertical="center" wrapText="1" readingOrder="1"/>
    </xf>
    <xf numFmtId="0" fontId="5" fillId="0" borderId="1" xfId="0" applyFont="1" applyBorder="1" applyAlignment="1">
      <alignment vertical="center" wrapText="1"/>
    </xf>
    <xf numFmtId="0" fontId="2" fillId="2" borderId="1" xfId="0" applyFont="1" applyFill="1" applyBorder="1" applyAlignment="1">
      <alignment horizontal="left" vertical="top" wrapText="1" readingOrder="1"/>
    </xf>
    <xf numFmtId="0" fontId="2" fillId="2" borderId="1" xfId="0" quotePrefix="1" applyFont="1" applyFill="1" applyBorder="1" applyAlignment="1">
      <alignment horizontal="left" vertical="top" wrapText="1" readingOrder="1"/>
    </xf>
    <xf numFmtId="0" fontId="5" fillId="0" borderId="0" xfId="0" applyFont="1" applyAlignment="1">
      <alignment vertical="center" wrapText="1"/>
    </xf>
    <xf numFmtId="0" fontId="14" fillId="2" borderId="1" xfId="0" applyFont="1" applyFill="1" applyBorder="1" applyAlignment="1">
      <alignment horizontal="left" vertical="center" wrapText="1" readingOrder="1"/>
    </xf>
    <xf numFmtId="0" fontId="2" fillId="0" borderId="0" xfId="0" applyFont="1" applyAlignment="1">
      <alignment horizontal="left" vertical="top"/>
    </xf>
    <xf numFmtId="0" fontId="1" fillId="6" borderId="1" xfId="0" applyFont="1" applyFill="1" applyBorder="1" applyAlignment="1">
      <alignment horizontal="left" vertical="top"/>
    </xf>
    <xf numFmtId="0" fontId="9" fillId="0" borderId="0" xfId="0" applyFont="1" applyAlignment="1">
      <alignment horizontal="left" vertical="top"/>
    </xf>
    <xf numFmtId="0" fontId="2" fillId="0" borderId="1" xfId="0" applyFont="1" applyBorder="1" applyAlignment="1">
      <alignment horizontal="left" vertical="top"/>
    </xf>
    <xf numFmtId="10" fontId="1" fillId="0" borderId="0" xfId="1" applyNumberFormat="1" applyFont="1" applyAlignment="1">
      <alignment horizontal="left" vertical="top"/>
    </xf>
    <xf numFmtId="0" fontId="6" fillId="0" borderId="0" xfId="0" applyFont="1" applyAlignment="1">
      <alignment horizontal="left" vertical="top"/>
    </xf>
    <xf numFmtId="0" fontId="1" fillId="3" borderId="1" xfId="0" applyFont="1" applyFill="1" applyBorder="1" applyAlignment="1">
      <alignment horizontal="left" vertical="center" wrapText="1" readingOrder="1"/>
    </xf>
    <xf numFmtId="0" fontId="1" fillId="5" borderId="1" xfId="0" applyFont="1" applyFill="1" applyBorder="1" applyAlignment="1">
      <alignment horizontal="left" vertical="center" wrapText="1" readingOrder="1"/>
    </xf>
    <xf numFmtId="0" fontId="3" fillId="5" borderId="1" xfId="0" applyFont="1" applyFill="1" applyBorder="1" applyAlignment="1">
      <alignment horizontal="center" vertical="center" wrapText="1" readingOrder="1"/>
    </xf>
    <xf numFmtId="9" fontId="1" fillId="4" borderId="1" xfId="0" applyNumberFormat="1" applyFont="1" applyFill="1" applyBorder="1" applyAlignment="1">
      <alignment horizontal="left" vertical="center" wrapText="1" readingOrder="1"/>
    </xf>
    <xf numFmtId="164" fontId="1" fillId="4" borderId="1" xfId="0" applyNumberFormat="1" applyFont="1" applyFill="1" applyBorder="1" applyAlignment="1">
      <alignment horizontal="left" vertical="center" wrapText="1" readingOrder="1"/>
    </xf>
    <xf numFmtId="0" fontId="2" fillId="0" borderId="0" xfId="0" applyFont="1" applyAlignment="1">
      <alignment horizontal="left" vertical="center"/>
    </xf>
    <xf numFmtId="0" fontId="1" fillId="4" borderId="1" xfId="0" applyFont="1" applyFill="1" applyBorder="1" applyAlignment="1">
      <alignment horizontal="left" vertical="center" wrapText="1" readingOrder="1"/>
    </xf>
    <xf numFmtId="0" fontId="1" fillId="14" borderId="6" xfId="0" applyFont="1" applyFill="1" applyBorder="1" applyAlignment="1">
      <alignment vertical="center"/>
    </xf>
    <xf numFmtId="0" fontId="1" fillId="14" borderId="6" xfId="0" applyFont="1" applyFill="1" applyBorder="1" applyAlignment="1">
      <alignment horizontal="center" vertical="center"/>
    </xf>
    <xf numFmtId="164" fontId="1" fillId="4" borderId="1" xfId="0" applyNumberFormat="1" applyFont="1" applyFill="1" applyBorder="1" applyAlignment="1">
      <alignment horizontal="center" vertical="center" readingOrder="1"/>
    </xf>
    <xf numFmtId="0" fontId="18" fillId="2" borderId="1" xfId="0" quotePrefix="1" applyFont="1" applyFill="1" applyBorder="1" applyAlignment="1">
      <alignment horizontal="left" vertical="center" wrapText="1" readingOrder="1"/>
    </xf>
    <xf numFmtId="0" fontId="18" fillId="0" borderId="1" xfId="0" quotePrefix="1" applyFont="1" applyBorder="1" applyAlignment="1">
      <alignment horizontal="left" vertical="center" wrapText="1" readingOrder="1"/>
    </xf>
    <xf numFmtId="0" fontId="13" fillId="2" borderId="1" xfId="0" quotePrefix="1" applyFont="1" applyFill="1" applyBorder="1" applyAlignment="1">
      <alignment horizontal="left" vertical="center" wrapText="1" readingOrder="1"/>
    </xf>
    <xf numFmtId="0" fontId="1" fillId="7" borderId="1" xfId="0" applyFont="1" applyFill="1" applyBorder="1" applyAlignment="1">
      <alignment wrapText="1" readingOrder="1"/>
    </xf>
    <xf numFmtId="9" fontId="2" fillId="7" borderId="3" xfId="0" applyNumberFormat="1" applyFont="1" applyFill="1" applyBorder="1" applyAlignment="1">
      <alignment horizontal="center" wrapText="1" readingOrder="1"/>
    </xf>
    <xf numFmtId="0" fontId="2" fillId="7" borderId="3" xfId="0" applyFont="1" applyFill="1" applyBorder="1" applyAlignment="1">
      <alignment horizontal="center" wrapText="1" readingOrder="1"/>
    </xf>
    <xf numFmtId="0" fontId="2" fillId="7" borderId="3" xfId="0" applyFont="1" applyFill="1" applyBorder="1" applyAlignment="1">
      <alignment wrapText="1" readingOrder="1"/>
    </xf>
    <xf numFmtId="9" fontId="2" fillId="7" borderId="3" xfId="0" applyNumberFormat="1" applyFont="1" applyFill="1" applyBorder="1" applyAlignment="1">
      <alignment wrapText="1" readingOrder="1"/>
    </xf>
    <xf numFmtId="0" fontId="1" fillId="7" borderId="4" xfId="0" applyFont="1" applyFill="1" applyBorder="1" applyAlignment="1">
      <alignment wrapText="1" readingOrder="1"/>
    </xf>
    <xf numFmtId="9" fontId="2" fillId="7" borderId="5" xfId="0" applyNumberFormat="1" applyFont="1" applyFill="1" applyBorder="1" applyAlignment="1">
      <alignment horizontal="center" wrapText="1" readingOrder="1"/>
    </xf>
    <xf numFmtId="0" fontId="2" fillId="7" borderId="5" xfId="0" applyFont="1" applyFill="1" applyBorder="1" applyAlignment="1">
      <alignment wrapText="1" readingOrder="1"/>
    </xf>
    <xf numFmtId="9" fontId="2" fillId="7" borderId="5" xfId="0" applyNumberFormat="1" applyFont="1" applyFill="1" applyBorder="1" applyAlignment="1">
      <alignment wrapText="1" readingOrder="1"/>
    </xf>
    <xf numFmtId="0" fontId="1" fillId="0" borderId="0" xfId="0" applyFont="1" applyAlignment="1">
      <alignment horizontal="left" vertical="center" wrapText="1" readingOrder="1"/>
    </xf>
    <xf numFmtId="0" fontId="2" fillId="0" borderId="0" xfId="0" applyFont="1" applyAlignment="1">
      <alignment horizontal="center" vertical="center" wrapText="1" readingOrder="1"/>
    </xf>
    <xf numFmtId="0" fontId="2" fillId="7" borderId="4" xfId="0" applyFont="1" applyFill="1" applyBorder="1" applyAlignment="1">
      <alignment wrapText="1" readingOrder="1"/>
    </xf>
    <xf numFmtId="9" fontId="1" fillId="0" borderId="0" xfId="0" applyNumberFormat="1" applyFont="1" applyAlignment="1">
      <alignment horizontal="center" vertical="center" wrapText="1" readingOrder="1"/>
    </xf>
    <xf numFmtId="0" fontId="2" fillId="0" borderId="0" xfId="0" applyFont="1" applyAlignment="1">
      <alignment horizontal="left" vertical="center" wrapText="1" readingOrder="1"/>
    </xf>
    <xf numFmtId="0" fontId="1" fillId="3" borderId="6" xfId="0" applyFont="1" applyFill="1" applyBorder="1" applyAlignment="1">
      <alignment horizontal="left" vertical="center" readingOrder="1"/>
    </xf>
    <xf numFmtId="0" fontId="19" fillId="13" borderId="4" xfId="0" applyFont="1" applyFill="1" applyBorder="1" applyAlignment="1">
      <alignment horizontal="left" vertical="center" wrapText="1" readingOrder="1"/>
    </xf>
    <xf numFmtId="0" fontId="20" fillId="0" borderId="4" xfId="0" applyFont="1" applyBorder="1" applyAlignment="1">
      <alignment horizontal="center" vertical="center" readingOrder="1"/>
    </xf>
    <xf numFmtId="0" fontId="20" fillId="0" borderId="5" xfId="0" applyFont="1" applyBorder="1" applyAlignment="1">
      <alignment horizontal="left" vertical="center" readingOrder="1"/>
    </xf>
    <xf numFmtId="0" fontId="20" fillId="0" borderId="5" xfId="0" applyFont="1" applyBorder="1" applyAlignment="1">
      <alignment horizontal="left" vertical="center" wrapText="1"/>
    </xf>
    <xf numFmtId="9" fontId="20" fillId="10" borderId="4" xfId="0" applyNumberFormat="1" applyFont="1" applyFill="1" applyBorder="1" applyAlignment="1">
      <alignment horizontal="center" vertical="center" readingOrder="1"/>
    </xf>
    <xf numFmtId="0" fontId="20" fillId="0" borderId="4" xfId="0" applyFont="1" applyBorder="1" applyAlignment="1">
      <alignment horizontal="left" vertical="top" wrapText="1" readingOrder="1"/>
    </xf>
    <xf numFmtId="0" fontId="19" fillId="0" borderId="6" xfId="0" applyFont="1" applyBorder="1" applyAlignment="1">
      <alignment horizontal="right" vertical="center"/>
    </xf>
    <xf numFmtId="0" fontId="19" fillId="0" borderId="6" xfId="0" applyFont="1" applyBorder="1" applyAlignment="1">
      <alignment horizontal="center" vertical="center"/>
    </xf>
    <xf numFmtId="0" fontId="2" fillId="0" borderId="6" xfId="0" applyFont="1" applyBorder="1" applyAlignment="1">
      <alignment horizontal="left" vertical="center" readingOrder="1"/>
    </xf>
    <xf numFmtId="0" fontId="19" fillId="13" borderId="4" xfId="0" applyFont="1" applyFill="1" applyBorder="1" applyAlignment="1">
      <alignment horizontal="left" vertical="center" wrapText="1"/>
    </xf>
    <xf numFmtId="0" fontId="20" fillId="0" borderId="5" xfId="0" applyFont="1" applyBorder="1" applyAlignment="1">
      <alignment horizontal="left" vertical="center" wrapText="1" readingOrder="1"/>
    </xf>
    <xf numFmtId="0" fontId="1" fillId="4" borderId="6" xfId="0" applyFont="1" applyFill="1" applyBorder="1" applyAlignment="1">
      <alignment horizontal="right" vertical="center" readingOrder="1"/>
    </xf>
    <xf numFmtId="0" fontId="1" fillId="4" borderId="6" xfId="0" applyFont="1" applyFill="1" applyBorder="1" applyAlignment="1">
      <alignment horizontal="left" vertical="center" readingOrder="1"/>
    </xf>
    <xf numFmtId="9" fontId="20" fillId="0" borderId="4" xfId="0" applyNumberFormat="1" applyFont="1" applyBorder="1" applyAlignment="1">
      <alignment horizontal="center" vertical="center" readingOrder="1"/>
    </xf>
    <xf numFmtId="9" fontId="1" fillId="4" borderId="1" xfId="0" applyNumberFormat="1" applyFont="1" applyFill="1" applyBorder="1" applyAlignment="1">
      <alignment horizontal="center" vertical="center" readingOrder="1"/>
    </xf>
    <xf numFmtId="9" fontId="2" fillId="7" borderId="1" xfId="0" applyNumberFormat="1" applyFont="1" applyFill="1" applyBorder="1" applyAlignment="1">
      <alignment horizontal="left" readingOrder="1"/>
    </xf>
    <xf numFmtId="0" fontId="2" fillId="7" borderId="3" xfId="0" applyFont="1" applyFill="1" applyBorder="1" applyAlignment="1">
      <alignment horizontal="left" readingOrder="1"/>
    </xf>
    <xf numFmtId="9" fontId="2" fillId="7" borderId="4" xfId="0" applyNumberFormat="1" applyFont="1" applyFill="1" applyBorder="1" applyAlignment="1">
      <alignment horizontal="left" readingOrder="1"/>
    </xf>
    <xf numFmtId="0" fontId="2" fillId="7" borderId="5" xfId="0" applyFont="1" applyFill="1" applyBorder="1" applyAlignment="1">
      <alignment horizontal="left" readingOrder="1"/>
    </xf>
    <xf numFmtId="0" fontId="21" fillId="0" borderId="0" xfId="0" applyFont="1" applyAlignment="1">
      <alignment vertical="center"/>
    </xf>
    <xf numFmtId="0" fontId="1" fillId="9" borderId="1" xfId="0" applyFont="1" applyFill="1" applyBorder="1" applyAlignment="1">
      <alignment wrapText="1" readingOrder="1"/>
    </xf>
    <xf numFmtId="0" fontId="1" fillId="9" borderId="3" xfId="0" applyFont="1" applyFill="1" applyBorder="1" applyAlignment="1">
      <alignment wrapText="1" readingOrder="1"/>
    </xf>
    <xf numFmtId="0" fontId="1" fillId="10" borderId="3" xfId="0" applyFont="1" applyFill="1" applyBorder="1" applyAlignment="1">
      <alignment wrapText="1" readingOrder="1"/>
    </xf>
    <xf numFmtId="0" fontId="2" fillId="0" borderId="0" xfId="0" applyFont="1"/>
    <xf numFmtId="0" fontId="1" fillId="11" borderId="1" xfId="0" applyFont="1" applyFill="1" applyBorder="1"/>
    <xf numFmtId="9" fontId="2" fillId="0" borderId="5" xfId="0" applyNumberFormat="1" applyFont="1" applyBorder="1" applyAlignment="1">
      <alignment wrapText="1" readingOrder="1"/>
    </xf>
    <xf numFmtId="0" fontId="2" fillId="0" borderId="5" xfId="0" applyFont="1" applyBorder="1" applyAlignment="1">
      <alignment wrapText="1" readingOrder="1"/>
    </xf>
    <xf numFmtId="0" fontId="2" fillId="0" borderId="4" xfId="0" applyFont="1" applyBorder="1" applyAlignment="1">
      <alignment wrapText="1" readingOrder="1"/>
    </xf>
    <xf numFmtId="0" fontId="2" fillId="0" borderId="4" xfId="0" applyFont="1" applyBorder="1"/>
    <xf numFmtId="0" fontId="1" fillId="0" borderId="0" xfId="0" applyFont="1"/>
    <xf numFmtId="0" fontId="1" fillId="7" borderId="4" xfId="0" applyFont="1" applyFill="1" applyBorder="1" applyAlignment="1">
      <alignment readingOrder="1"/>
    </xf>
    <xf numFmtId="0" fontId="2" fillId="7" borderId="5" xfId="0" applyFont="1" applyFill="1" applyBorder="1" applyAlignment="1">
      <alignment readingOrder="1"/>
    </xf>
    <xf numFmtId="9" fontId="2" fillId="7" borderId="5" xfId="0" applyNumberFormat="1" applyFont="1" applyFill="1" applyBorder="1" applyAlignment="1">
      <alignment readingOrder="1"/>
    </xf>
    <xf numFmtId="0" fontId="1" fillId="12" borderId="4" xfId="0" applyFont="1" applyFill="1" applyBorder="1" applyAlignment="1">
      <alignment wrapText="1" readingOrder="1"/>
    </xf>
    <xf numFmtId="0" fontId="1" fillId="12" borderId="5" xfId="0" applyFont="1" applyFill="1" applyBorder="1" applyAlignment="1">
      <alignment wrapText="1" readingOrder="1"/>
    </xf>
    <xf numFmtId="0" fontId="2" fillId="7" borderId="5" xfId="0" quotePrefix="1" applyFont="1" applyFill="1" applyBorder="1" applyAlignment="1">
      <alignment wrapText="1" readingOrder="1"/>
    </xf>
    <xf numFmtId="0" fontId="1" fillId="15" borderId="4" xfId="0" applyFont="1" applyFill="1" applyBorder="1" applyAlignment="1">
      <alignment wrapText="1" readingOrder="1"/>
    </xf>
    <xf numFmtId="0" fontId="22" fillId="0" borderId="0" xfId="0" applyFont="1"/>
    <xf numFmtId="0" fontId="2" fillId="7" borderId="3" xfId="0" applyFont="1" applyFill="1" applyBorder="1" applyAlignment="1">
      <alignment readingOrder="1"/>
    </xf>
    <xf numFmtId="0" fontId="1" fillId="4" borderId="4" xfId="0" applyFont="1" applyFill="1" applyBorder="1" applyAlignment="1">
      <alignment horizontal="center" vertical="center" wrapText="1" readingOrder="1"/>
    </xf>
    <xf numFmtId="0" fontId="1" fillId="4" borderId="0" xfId="0" applyFont="1" applyFill="1" applyAlignment="1">
      <alignment horizontal="center" vertical="center" wrapText="1" readingOrder="1"/>
    </xf>
    <xf numFmtId="0" fontId="23" fillId="0" borderId="0" xfId="0" applyFont="1" applyAlignment="1">
      <alignment vertical="top" wrapText="1"/>
    </xf>
    <xf numFmtId="9" fontId="2" fillId="0" borderId="1" xfId="0" applyNumberFormat="1" applyFont="1" applyBorder="1" applyAlignment="1">
      <alignment horizontal="center" vertical="center" wrapText="1" readingOrder="1"/>
    </xf>
    <xf numFmtId="0" fontId="17" fillId="0" borderId="0" xfId="0" applyFont="1" applyAlignment="1">
      <alignment horizontal="center" vertical="center" wrapText="1" readingOrder="1"/>
    </xf>
    <xf numFmtId="9" fontId="1" fillId="0" borderId="1" xfId="0" applyNumberFormat="1" applyFont="1" applyBorder="1" applyAlignment="1">
      <alignment horizontal="center" vertical="center" wrapText="1" readingOrder="1"/>
    </xf>
    <xf numFmtId="0" fontId="2" fillId="7" borderId="1" xfId="0" applyFont="1" applyFill="1" applyBorder="1" applyAlignment="1">
      <alignment horizontal="center" vertical="center" wrapText="1" indent="1" readingOrder="1"/>
    </xf>
    <xf numFmtId="0" fontId="17" fillId="0" borderId="0" xfId="0" applyFont="1" applyAlignment="1">
      <alignment horizontal="left" vertical="center" wrapText="1" readingOrder="1"/>
    </xf>
    <xf numFmtId="0" fontId="0" fillId="16" borderId="0" xfId="0" applyFill="1"/>
    <xf numFmtId="0" fontId="24" fillId="17" borderId="8" xfId="0" applyFont="1" applyFill="1" applyBorder="1" applyAlignment="1">
      <alignment horizontal="center" vertical="center" wrapText="1"/>
    </xf>
    <xf numFmtId="0" fontId="25" fillId="17" borderId="8" xfId="0" applyFont="1" applyFill="1" applyBorder="1" applyAlignment="1">
      <alignment horizontal="left" vertical="center" wrapText="1" indent="1"/>
    </xf>
    <xf numFmtId="0" fontId="24" fillId="17" borderId="1" xfId="0" applyFont="1" applyFill="1" applyBorder="1" applyAlignment="1">
      <alignment horizontal="center" vertical="center" wrapText="1"/>
    </xf>
    <xf numFmtId="0" fontId="25" fillId="17" borderId="1" xfId="0" applyFont="1" applyFill="1" applyBorder="1" applyAlignment="1">
      <alignment horizontal="left" vertical="center" wrapText="1" indent="1"/>
    </xf>
    <xf numFmtId="1" fontId="25" fillId="17" borderId="1" xfId="0" applyNumberFormat="1" applyFont="1" applyFill="1" applyBorder="1" applyAlignment="1">
      <alignment horizontal="left" vertical="center" wrapText="1" indent="1"/>
    </xf>
    <xf numFmtId="0" fontId="24" fillId="17" borderId="8" xfId="0" applyFont="1" applyFill="1" applyBorder="1" applyAlignment="1">
      <alignment horizontal="left" vertical="center" wrapText="1" indent="1"/>
    </xf>
    <xf numFmtId="0" fontId="27" fillId="16" borderId="0" xfId="0" applyFont="1" applyFill="1"/>
    <xf numFmtId="0" fontId="0" fillId="16" borderId="1" xfId="0" applyFill="1" applyBorder="1" applyAlignment="1">
      <alignment horizontal="center" vertical="center" wrapText="1"/>
    </xf>
    <xf numFmtId="0" fontId="0" fillId="16" borderId="1" xfId="0" applyFill="1" applyBorder="1" applyAlignment="1">
      <alignment horizontal="center" vertical="center"/>
    </xf>
    <xf numFmtId="0" fontId="5" fillId="0" borderId="0" xfId="0" applyFont="1" applyAlignment="1">
      <alignment horizontal="left" vertical="center" readingOrder="1"/>
    </xf>
    <xf numFmtId="0" fontId="3" fillId="0" borderId="7" xfId="0" applyFont="1" applyBorder="1" applyAlignment="1">
      <alignment horizontal="center" vertical="center" wrapText="1" readingOrder="1"/>
    </xf>
    <xf numFmtId="0" fontId="17" fillId="0" borderId="0" xfId="0" applyFont="1" applyAlignment="1">
      <alignment horizontal="left" vertical="center" readingOrder="1"/>
    </xf>
    <xf numFmtId="0" fontId="1" fillId="0" borderId="7" xfId="0" applyFont="1" applyBorder="1" applyAlignment="1">
      <alignment horizontal="center" vertical="center" wrapText="1" readingOrder="1"/>
    </xf>
    <xf numFmtId="0" fontId="17" fillId="0" borderId="0" xfId="0" applyFont="1" applyAlignment="1">
      <alignment horizontal="left" vertical="top" readingOrder="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uang, Brian W. (TR Marketing)" id="{517989BB-E370-4287-9229-DF06B6977539}" userId="Brian.Huang2@thomsonreuters.com" providerId="PeoplePicker"/>
  <person displayName="Jones, Krista (TR People)" id="{698CC80F-5DA1-485C-9CF8-4E2BBE6E0704}" userId="Krista.Jones@thomsonreuters.com" providerId="PeoplePicker"/>
  <person displayName="Walker, Lexie (TR Marketing)" id="{B6B3C3D4-3CFB-4234-B912-1016B960AE1F}" userId="Lexie.Walker@thomsonreuters.com" providerId="PeoplePicker"/>
  <person displayName="Katkam, Saritha (TR Marketing)" id="{20831BEA-AFA3-49A8-BEC2-7085FF72804D}" userId="Saritha.Katkam@thomsonreuters.com" providerId="PeoplePicker"/>
  <person displayName="Sellnow, Annette (TR Marketing)" id="{304EC073-09EF-4F6E-A752-B777A5FC573B}" userId="annette.sellnow@thomsonreuters.com" providerId="PeoplePicker"/>
  <person displayName="Yerubandi, Sai Teja (Operations &amp; Technology)" id="{ED6F870D-0FCE-4562-A26A-DF3FEF404BBB}" userId="SaiTeja.Yerubandi@thomsonreuters.com" providerId="PeoplePicker"/>
  <person displayName="FLECKNER, JENNIFER (TR Marketing)" id="{B5CE8D2E-29FD-4A36-8579-7DB0D91ABE48}" userId="jennifer.fleckner@thomsonreuters.com" providerId="PeoplePicker"/>
  <person displayName="Sampaio Oliveira, Mariana (TR Marketing)" id="{ACA68A89-A37D-407F-8E5F-19229DAB71D7}" userId="Mariana.SampaioOliveira@thomsonreuters.com" providerId="PeoplePicker"/>
  <person displayName="Harris, Trae (TR Marketing)" id="{29EF8618-DA89-4EAE-9C0C-13EAA60CE0DB}" userId="S::Trae.Harris@thomsonreuters.com::85cdd0ba-fccf-49e0-abf3-9ff4db3119cf" providerId="AD"/>
  <person displayName="Dotson, Bethany (TR Marketing)" id="{B266A667-715A-4C7E-957B-90BB49985302}" userId="S::Bethany.Dotson@thomsonreuters.com::92af995e-6124-49e8-9258-823a4f37f123" providerId="AD"/>
  <person displayName="Lowes, Kayleigh (TR Institute)" id="{56217619-8EE5-4382-8F2E-0FC109F43EB5}" userId="S::Kayleigh.Lowes@thomsonreuters.com::6e70076d-f3cb-4891-ae50-b1d117036238" providerId="AD"/>
  <person displayName="Katkam, Saritha (TR Marketing)" id="{C16EFD58-BEB8-42D2-A816-34BF8FB28D9F}" userId="S::saritha.katkam@thomsonreuters.com::5063ee0c-2915-49e1-8a07-5d0a31dd5c96" providerId="AD"/>
  <person displayName="Yerubandi, Sai Teja (Operations &amp; Technology)" id="{B5FE5B83-7598-454C-A053-E345E6323D23}" userId="S::SaiTeja.Yerubandi@thomsonreuters.com::11e91d70-cb6b-41de-a664-bdca2a64c219" providerId="AD"/>
  <person displayName="Sampaio Oliveira, Mariana (TR Marketing)" id="{3EEC2C85-6FDD-4046-8A1D-4E45C2106CBB}" userId="S::mariana.sampaiooliveira@thomsonreuters.com::b0acc37f-b56a-4ecf-b35e-beddcb7b7f5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4" dT="2025-08-04T09:42:03.28" personId="{B5FE5B83-7598-454C-A053-E345E6323D23}" id="{6DA8EA63-4E09-4F47-BA91-A9E43E03FCBD}">
    <text>Personal AI or Treasure Data AI agent? Description says Persona</text>
  </threadedComment>
</ThreadedComments>
</file>

<file path=xl/threadedComments/threadedComment2.xml><?xml version="1.0" encoding="utf-8"?>
<ThreadedComments xmlns="http://schemas.microsoft.com/office/spreadsheetml/2018/threadedcomments" xmlns:x="http://schemas.openxmlformats.org/spreadsheetml/2006/main">
  <threadedComment ref="A7" dT="2025-08-08T19:57:52.67" personId="{B266A667-715A-4C7E-957B-90BB49985302}" id="{167D13D1-F2FE-7240-A643-EE7D04C8A73F}">
    <text>make sure this is clearly differentiated from project/ops and from go-to-market planning</text>
  </threadedComment>
  <threadedComment ref="B8" dT="2025-08-08T13:26:20.88" personId="{B5FE5B83-7598-454C-A053-E345E6323D23}" id="{580B0158-1E61-4631-AD9B-1E282A6F2AEC}">
    <text>@Huang, Brian W. (TR Marketing) , the Product marketing activities don’t add up to a 100%. Could we please relook at the % time in rows 2-9. Thanks!</text>
    <mentions>
      <mention mentionpersonId="{517989BB-E370-4287-9229-DF06B6977539}" mentionId="{49F81821-269A-4723-ADB8-BF9D72CB0D87}" startIndex="0" length="31"/>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O7" dT="2025-07-23T11:09:30.97" personId="{56217619-8EE5-4382-8F2E-0FC109F43EB5}" id="{C018A316-3499-40AA-A675-B4C12DDD9975}">
    <text>Thanks - updated!</text>
  </threadedComment>
</ThreadedComments>
</file>

<file path=xl/threadedComments/threadedComment4.xml><?xml version="1.0" encoding="utf-8"?>
<ThreadedComments xmlns="http://schemas.microsoft.com/office/spreadsheetml/2018/threadedcomments" xmlns:x="http://schemas.openxmlformats.org/spreadsheetml/2006/main">
  <threadedComment ref="C2" dT="2025-08-07T16:56:23.86" personId="{B5FE5B83-7598-454C-A053-E345E6323D23}" id="{D46A63E3-5BF2-4616-B43F-9A9E628ADF4F}">
    <text>@Sellnow, Annette (TR Marketing) , could you include the time spent by the 8 FTE on the activity as well please. Same for the other cells</text>
    <mentions>
      <mention mentionpersonId="{304EC073-09EF-4F6E-A752-B777A5FC573B}" mentionId="{4A38C816-C8AE-4860-AA95-F8467BF953AE}" startIndex="0" length="32"/>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A17" dT="2025-08-12T12:57:12.67" personId="{B5FE5B83-7598-454C-A053-E345E6323D23}" id="{63549570-A70C-485A-86BD-9AC9B7108EFD}" done="1">
    <text>@Sampaio Oliveira, Mariana (TR Marketing) , could you please add some description to this step. Thanks!</text>
    <mentions>
      <mention mentionpersonId="{ACA68A89-A37D-407F-8E5F-19229DAB71D7}" mentionId="{CE135635-0C9A-45D6-9CAB-A82B96145826}" startIndex="0" length="41"/>
    </mentions>
  </threadedComment>
  <threadedComment ref="A17" dT="2025-08-12T13:24:00.35" personId="{3EEC2C85-6FDD-4046-8A1D-4E45C2106CBB}" id="{11D671F4-0080-4D73-9566-1DE781B77709}" parentId="{63549570-A70C-485A-86BD-9AC9B7108EFD}">
    <text xml:space="preserve">@Yerubandi, Sai Teja (Operations &amp; Technology) , done. I think it was a copying and paste issue. </text>
    <mentions>
      <mention mentionpersonId="{ED6F870D-0FCE-4562-A26A-DF3FEF404BBB}" mentionId="{B84E6EF0-2DE0-46BD-86C0-71F6412FEB04}" startIndex="0" length="46"/>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A2" dT="2025-08-06T21:53:56.28" personId="{29EF8618-DA89-4EAE-9C0C-13EAA60CE0DB}" id="{2D8417D4-99DC-5649-B535-13BBB32A09E0}" done="1">
    <text>@FLECKNER, JENNIFER (TR Marketing) - This is what we will be working on tomorrow</text>
    <mentions>
      <mention mentionpersonId="{B5CE8D2E-29FD-4A36-8579-7DB0D91ABE48}" mentionId="{F1565EC2-3F04-1647-B617-D816B14224A7}" startIndex="0" length="34"/>
    </mentions>
  </threadedComment>
  <threadedComment ref="L5" dT="2025-08-05T13:58:18.94" personId="{29EF8618-DA89-4EAE-9C0C-13EAA60CE0DB}" id="{F8B8D18D-4280-D142-9356-716050F35C51}">
    <text xml:space="preserve">Need to add Saritha team to 5 for Alex
</text>
  </threadedComment>
  <threadedComment ref="L5" dT="2025-08-05T21:07:24.54" personId="{29EF8618-DA89-4EAE-9C0C-13EAA60CE0DB}" id="{E7C7E2BB-431D-074A-B53D-9B0EF1857200}" parentId="{F8B8D18D-4280-D142-9356-716050F35C51}">
    <text xml:space="preserve">	Linda Bowen, Mary Nelson, Netra Gillard, Laura Newland, Long John Tran, Helly Panchal</text>
  </threadedComment>
  <threadedComment ref="L5" dT="2025-08-06T14:14:21.67" personId="{29EF8618-DA89-4EAE-9C0C-13EAA60CE0DB}" id="{F42A5233-ABC3-4141-9762-85190B305A92}" parentId="{F8B8D18D-4280-D142-9356-716050F35C51}">
    <text xml:space="preserve">@Katkam, Saritha (TR Marketing) - How many would I add from your team
</text>
    <mentions>
      <mention mentionpersonId="{20831BEA-AFA3-49A8-BEC2-7085FF72804D}" mentionId="{6378ADB9-A9D0-6545-8335-B3E1F8BE3D7D}" startIndex="0" length="31"/>
    </mentions>
  </threadedComment>
  <threadedComment ref="L5" dT="2025-08-07T11:22:25.01" personId="{C16EFD58-BEB8-42D2-A816-34BF8FB28D9F}" id="{BEE8B002-6114-3F4A-9441-650E70AF1947}" parentId="{F8B8D18D-4280-D142-9356-716050F35C51}">
    <text xml:space="preserve">Alice Katuri ,Allam Chandan Reddy, Madhavi Bhukya- 3 PCs </text>
  </threadedComment>
</ThreadedComments>
</file>

<file path=xl/threadedComments/threadedComment7.xml><?xml version="1.0" encoding="utf-8"?>
<ThreadedComments xmlns="http://schemas.microsoft.com/office/spreadsheetml/2018/threadedcomments" xmlns:x="http://schemas.openxmlformats.org/spreadsheetml/2006/main">
  <threadedComment ref="K1" dT="2025-08-08T11:26:48.35" personId="{B5FE5B83-7598-454C-A053-E345E6323D23}" id="{CE514506-7A43-4FB4-8D71-E542209ECEF3}">
    <text>@Jones, Krista (TR People) , do you have the role break up here please?</text>
    <mentions>
      <mention mentionpersonId="{698CC80F-5DA1-485C-9CF8-4E2BBE6E0704}" mentionId="{93E6B116-0D22-4E4C-9D5F-1E0557837DF6}" startIndex="0" length="26"/>
    </mentions>
  </threadedComment>
  <threadedComment ref="G8" dT="2025-08-08T13:37:34.66" personId="{B5FE5B83-7598-454C-A053-E345E6323D23}" id="{186A732E-535B-4C96-9CB8-03238DB5687A}">
    <text xml:space="preserve">@Walker, Lexie (TR Marketing) , could we add the use cases for rows 8-11 as well please. Thanks! </text>
    <mentions>
      <mention mentionpersonId="{B6B3C3D4-3CFB-4234-B912-1016B960AE1F}" mentionId="{0BECF5F9-F252-4ECA-8D5D-ADC712B001E2}" startIndex="0" length="29"/>
    </mentions>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microsoft.com/office/2017/10/relationships/threadedComment" Target="../threadedComments/threadedComment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 Id="rId4" Type="http://schemas.microsoft.com/office/2017/10/relationships/threadedComment" Target="../threadedComments/threadedComment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 Id="rId4" Type="http://schemas.microsoft.com/office/2017/10/relationships/threadedComment" Target="../threadedComments/threadedComment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D6D65-A9CA-428C-9E14-13086776571B}">
  <dimension ref="A1:AB24"/>
  <sheetViews>
    <sheetView showFormulas="1" tabSelected="1" zoomScale="88" workbookViewId="0">
      <selection activeCell="A3" sqref="A3:A4"/>
    </sheetView>
  </sheetViews>
  <sheetFormatPr baseColWidth="10" defaultColWidth="8.83203125" defaultRowHeight="16"/>
  <cols>
    <col min="1" max="1" width="8.83203125" style="156"/>
    <col min="2" max="2" width="43.83203125" style="156" customWidth="1"/>
    <col min="3" max="3" width="8.83203125" style="156"/>
    <col min="4" max="4" width="39.33203125" style="156" customWidth="1"/>
    <col min="5" max="5" width="23.1640625" style="156" customWidth="1"/>
    <col min="6" max="9" width="8.83203125" style="156"/>
    <col min="10" max="10" width="19.33203125" style="156" customWidth="1"/>
    <col min="11" max="13" width="39.1640625" style="156" customWidth="1"/>
    <col min="14" max="16" width="8.83203125" style="156"/>
    <col min="17" max="17" width="21.1640625" style="156" customWidth="1"/>
    <col min="18" max="28" width="40.6640625" style="156" customWidth="1"/>
    <col min="29" max="16384" width="8.83203125" style="156"/>
  </cols>
  <sheetData>
    <row r="1" spans="1:28" ht="17" thickBot="1">
      <c r="J1" s="163" t="s">
        <v>709</v>
      </c>
    </row>
    <row r="2" spans="1:28" ht="17" thickBot="1">
      <c r="A2" s="159" t="s">
        <v>606</v>
      </c>
      <c r="B2" s="159" t="s">
        <v>607</v>
      </c>
      <c r="C2" s="159" t="s">
        <v>2</v>
      </c>
      <c r="D2" s="159" t="s">
        <v>608</v>
      </c>
      <c r="E2" s="159" t="s">
        <v>609</v>
      </c>
      <c r="F2" s="159" t="s">
        <v>641</v>
      </c>
      <c r="J2" s="157" t="s">
        <v>642</v>
      </c>
      <c r="K2" s="157" t="s">
        <v>643</v>
      </c>
      <c r="L2" s="157" t="s">
        <v>644</v>
      </c>
      <c r="M2" s="157" t="s">
        <v>645</v>
      </c>
      <c r="N2" s="157" t="s">
        <v>641</v>
      </c>
      <c r="Q2" s="157" t="s">
        <v>0</v>
      </c>
      <c r="R2" s="157" t="s">
        <v>668</v>
      </c>
      <c r="S2" s="157" t="s">
        <v>45</v>
      </c>
      <c r="T2" s="157" t="s">
        <v>619</v>
      </c>
      <c r="U2" s="157" t="s">
        <v>54</v>
      </c>
      <c r="V2" s="157" t="s">
        <v>208</v>
      </c>
      <c r="W2" s="157" t="s">
        <v>669</v>
      </c>
      <c r="X2" s="157" t="s">
        <v>626</v>
      </c>
      <c r="Y2" s="157" t="s">
        <v>670</v>
      </c>
      <c r="Z2" s="157" t="s">
        <v>633</v>
      </c>
      <c r="AA2" s="157" t="s">
        <v>635</v>
      </c>
      <c r="AB2" s="157" t="s">
        <v>640</v>
      </c>
    </row>
    <row r="3" spans="1:28" ht="43" thickBot="1">
      <c r="A3" s="164" t="s">
        <v>613</v>
      </c>
      <c r="B3" s="160" t="s">
        <v>610</v>
      </c>
      <c r="C3" s="161">
        <v>20.3</v>
      </c>
      <c r="D3" s="160" t="s">
        <v>611</v>
      </c>
      <c r="E3" s="160" t="s">
        <v>557</v>
      </c>
      <c r="F3" s="164">
        <v>143</v>
      </c>
      <c r="J3" s="162" t="s">
        <v>646</v>
      </c>
      <c r="K3" s="158" t="s">
        <v>647</v>
      </c>
      <c r="L3" s="158" t="s">
        <v>648</v>
      </c>
      <c r="M3" s="158" t="s">
        <v>649</v>
      </c>
      <c r="N3" s="162">
        <v>79.45</v>
      </c>
      <c r="Q3" s="162" t="s">
        <v>646</v>
      </c>
      <c r="R3" s="158" t="s">
        <v>671</v>
      </c>
      <c r="S3" s="158" t="s">
        <v>672</v>
      </c>
      <c r="T3" s="158" t="s">
        <v>692</v>
      </c>
      <c r="U3" s="158" t="s">
        <v>693</v>
      </c>
      <c r="V3" s="158" t="s">
        <v>694</v>
      </c>
      <c r="W3" s="158" t="s">
        <v>695</v>
      </c>
      <c r="X3" s="158" t="s">
        <v>696</v>
      </c>
      <c r="Y3" s="158" t="s">
        <v>697</v>
      </c>
      <c r="Z3" s="158" t="s">
        <v>673</v>
      </c>
      <c r="AA3" s="158" t="s">
        <v>674</v>
      </c>
      <c r="AB3" s="158" t="s">
        <v>675</v>
      </c>
    </row>
    <row r="4" spans="1:28" ht="43" thickBot="1">
      <c r="A4" s="164"/>
      <c r="B4" s="160" t="s">
        <v>612</v>
      </c>
      <c r="C4" s="161">
        <v>18.899999999999999</v>
      </c>
      <c r="D4" s="160" t="s">
        <v>558</v>
      </c>
      <c r="E4" s="160" t="s">
        <v>557</v>
      </c>
      <c r="F4" s="164"/>
      <c r="J4" s="162" t="s">
        <v>650</v>
      </c>
      <c r="K4" s="158" t="s">
        <v>651</v>
      </c>
      <c r="L4" s="158" t="s">
        <v>652</v>
      </c>
      <c r="M4" s="158" t="s">
        <v>653</v>
      </c>
      <c r="N4" s="162">
        <v>61.9</v>
      </c>
      <c r="Q4" s="162" t="s">
        <v>676</v>
      </c>
      <c r="R4" s="158" t="s">
        <v>557</v>
      </c>
      <c r="S4" s="158"/>
      <c r="T4" s="158"/>
      <c r="U4" s="158"/>
      <c r="V4" s="158"/>
      <c r="W4" s="158" t="s">
        <v>678</v>
      </c>
      <c r="X4" s="158"/>
      <c r="Y4" s="158"/>
      <c r="Z4" s="158" t="s">
        <v>679</v>
      </c>
      <c r="AA4" s="158"/>
      <c r="AB4" s="158" t="s">
        <v>639</v>
      </c>
    </row>
    <row r="5" spans="1:28" ht="29" thickBot="1">
      <c r="A5" s="164" t="s">
        <v>617</v>
      </c>
      <c r="B5" s="160" t="s">
        <v>614</v>
      </c>
      <c r="C5" s="161">
        <v>27.9</v>
      </c>
      <c r="D5" s="160" t="s">
        <v>576</v>
      </c>
      <c r="E5" s="160" t="s">
        <v>615</v>
      </c>
      <c r="F5" s="164">
        <v>131</v>
      </c>
      <c r="J5" s="162" t="s">
        <v>59</v>
      </c>
      <c r="K5" s="158" t="s">
        <v>654</v>
      </c>
      <c r="L5" s="158" t="s">
        <v>655</v>
      </c>
      <c r="M5" s="158" t="s">
        <v>656</v>
      </c>
      <c r="N5" s="162">
        <v>23.5</v>
      </c>
      <c r="Q5" s="162" t="s">
        <v>59</v>
      </c>
      <c r="R5" s="158"/>
      <c r="S5" s="158"/>
      <c r="T5" s="158"/>
      <c r="U5" s="158" t="s">
        <v>677</v>
      </c>
      <c r="V5" s="158"/>
      <c r="W5" s="158" t="s">
        <v>680</v>
      </c>
      <c r="X5" s="158"/>
      <c r="Y5" s="158"/>
      <c r="Z5" s="158" t="s">
        <v>681</v>
      </c>
      <c r="AA5" s="158"/>
      <c r="AB5" s="158"/>
    </row>
    <row r="6" spans="1:28" ht="43" thickBot="1">
      <c r="A6" s="164"/>
      <c r="B6" s="160" t="s">
        <v>616</v>
      </c>
      <c r="C6" s="161">
        <v>23</v>
      </c>
      <c r="D6" s="160" t="s">
        <v>611</v>
      </c>
      <c r="E6" s="160" t="s">
        <v>57</v>
      </c>
      <c r="F6" s="164"/>
      <c r="J6" s="162" t="s">
        <v>657</v>
      </c>
      <c r="K6" s="158" t="s">
        <v>658</v>
      </c>
      <c r="L6" s="158" t="s">
        <v>659</v>
      </c>
      <c r="M6" s="158" t="s">
        <v>660</v>
      </c>
      <c r="N6" s="162">
        <v>52.4</v>
      </c>
      <c r="Q6" s="162" t="s">
        <v>657</v>
      </c>
      <c r="R6" s="158" t="s">
        <v>700</v>
      </c>
      <c r="S6" s="158" t="s">
        <v>701</v>
      </c>
      <c r="T6" s="158" t="s">
        <v>702</v>
      </c>
      <c r="U6" s="158" t="s">
        <v>703</v>
      </c>
      <c r="V6" s="158" t="s">
        <v>682</v>
      </c>
      <c r="W6" s="158" t="s">
        <v>683</v>
      </c>
      <c r="X6" s="158"/>
      <c r="Y6" s="158" t="s">
        <v>436</v>
      </c>
      <c r="Z6" s="158" t="s">
        <v>684</v>
      </c>
      <c r="AA6" s="158"/>
      <c r="AB6" s="158" t="s">
        <v>9</v>
      </c>
    </row>
    <row r="7" spans="1:28" ht="43" thickBot="1">
      <c r="A7" s="164" t="s">
        <v>619</v>
      </c>
      <c r="B7" s="160" t="s">
        <v>362</v>
      </c>
      <c r="C7" s="161">
        <v>15.1</v>
      </c>
      <c r="D7" s="160" t="s">
        <v>611</v>
      </c>
      <c r="E7" s="160" t="s">
        <v>52</v>
      </c>
      <c r="F7" s="164">
        <v>66</v>
      </c>
      <c r="J7" s="162" t="s">
        <v>661</v>
      </c>
      <c r="K7" s="158" t="s">
        <v>662</v>
      </c>
      <c r="L7" s="158" t="s">
        <v>663</v>
      </c>
      <c r="M7" s="158" t="s">
        <v>57</v>
      </c>
      <c r="N7" s="162">
        <v>43.05</v>
      </c>
      <c r="Q7" s="162" t="s">
        <v>38</v>
      </c>
      <c r="R7" s="158" t="s">
        <v>708</v>
      </c>
      <c r="S7" s="158" t="s">
        <v>704</v>
      </c>
      <c r="T7" s="158" t="s">
        <v>205</v>
      </c>
      <c r="U7" s="158" t="s">
        <v>686</v>
      </c>
      <c r="V7" s="158" t="s">
        <v>687</v>
      </c>
      <c r="W7" s="158" t="s">
        <v>705</v>
      </c>
      <c r="X7" s="158" t="s">
        <v>564</v>
      </c>
      <c r="Y7" s="158" t="s">
        <v>706</v>
      </c>
      <c r="Z7" s="158" t="s">
        <v>707</v>
      </c>
      <c r="AA7" s="158" t="s">
        <v>205</v>
      </c>
      <c r="AB7" s="158" t="s">
        <v>688</v>
      </c>
    </row>
    <row r="8" spans="1:28" ht="29" thickBot="1">
      <c r="A8" s="164"/>
      <c r="B8" s="160" t="s">
        <v>353</v>
      </c>
      <c r="C8" s="161">
        <v>10</v>
      </c>
      <c r="D8" s="160" t="s">
        <v>58</v>
      </c>
      <c r="E8" s="160" t="s">
        <v>618</v>
      </c>
      <c r="F8" s="164"/>
      <c r="J8" s="162" t="s">
        <v>38</v>
      </c>
      <c r="K8" s="158" t="s">
        <v>664</v>
      </c>
      <c r="L8" s="158" t="s">
        <v>665</v>
      </c>
      <c r="M8" s="158" t="s">
        <v>666</v>
      </c>
      <c r="N8" s="162">
        <v>18.95</v>
      </c>
      <c r="Q8" s="162" t="s">
        <v>55</v>
      </c>
      <c r="R8" s="158" t="s">
        <v>689</v>
      </c>
      <c r="S8" s="158" t="s">
        <v>672</v>
      </c>
      <c r="T8" s="158" t="s">
        <v>685</v>
      </c>
      <c r="U8" s="158" t="s">
        <v>436</v>
      </c>
      <c r="V8" s="158" t="s">
        <v>205</v>
      </c>
      <c r="W8" s="158" t="s">
        <v>165</v>
      </c>
      <c r="X8" s="158" t="s">
        <v>690</v>
      </c>
      <c r="Y8" s="158" t="s">
        <v>691</v>
      </c>
      <c r="Z8" s="158" t="s">
        <v>673</v>
      </c>
      <c r="AA8" s="158" t="s">
        <v>559</v>
      </c>
      <c r="AB8" s="158" t="s">
        <v>675</v>
      </c>
    </row>
    <row r="9" spans="1:28" ht="29" thickBot="1">
      <c r="A9" s="165" t="s">
        <v>54</v>
      </c>
      <c r="B9" s="160" t="s">
        <v>59</v>
      </c>
      <c r="C9" s="161">
        <v>11</v>
      </c>
      <c r="D9" s="160" t="s">
        <v>221</v>
      </c>
      <c r="E9" s="160" t="s">
        <v>9</v>
      </c>
      <c r="F9" s="165">
        <v>20</v>
      </c>
      <c r="J9" s="162" t="s">
        <v>55</v>
      </c>
      <c r="K9" s="158" t="s">
        <v>667</v>
      </c>
      <c r="L9" s="158" t="s">
        <v>576</v>
      </c>
      <c r="M9" s="158" t="s">
        <v>615</v>
      </c>
      <c r="N9" s="162">
        <v>44</v>
      </c>
    </row>
    <row r="10" spans="1:28" ht="28">
      <c r="A10" s="165"/>
      <c r="B10" s="160" t="s">
        <v>141</v>
      </c>
      <c r="C10" s="161">
        <v>2</v>
      </c>
      <c r="D10" s="160" t="s">
        <v>442</v>
      </c>
      <c r="E10" s="160" t="s">
        <v>9</v>
      </c>
      <c r="F10" s="165"/>
    </row>
    <row r="11" spans="1:28" ht="28">
      <c r="A11" s="164" t="s">
        <v>208</v>
      </c>
      <c r="B11" s="160" t="s">
        <v>620</v>
      </c>
      <c r="C11" s="161">
        <v>10</v>
      </c>
      <c r="D11" s="160" t="s">
        <v>394</v>
      </c>
      <c r="E11" s="160" t="s">
        <v>52</v>
      </c>
      <c r="F11" s="164">
        <v>72</v>
      </c>
    </row>
    <row r="12" spans="1:28" ht="42">
      <c r="A12" s="164"/>
      <c r="B12" s="160" t="s">
        <v>621</v>
      </c>
      <c r="C12" s="161">
        <v>7.5</v>
      </c>
      <c r="D12" s="160" t="s">
        <v>324</v>
      </c>
      <c r="E12" s="160" t="s">
        <v>309</v>
      </c>
      <c r="F12" s="164"/>
      <c r="J12" s="163"/>
    </row>
    <row r="13" spans="1:28" ht="28">
      <c r="A13" s="164" t="s">
        <v>624</v>
      </c>
      <c r="B13" s="160" t="s">
        <v>622</v>
      </c>
      <c r="C13" s="161">
        <v>13</v>
      </c>
      <c r="D13" s="160" t="s">
        <v>260</v>
      </c>
      <c r="E13" s="160" t="s">
        <v>165</v>
      </c>
      <c r="F13" s="164">
        <v>66</v>
      </c>
    </row>
    <row r="14" spans="1:28" ht="28">
      <c r="A14" s="164"/>
      <c r="B14" s="160" t="s">
        <v>623</v>
      </c>
      <c r="C14" s="161">
        <v>10</v>
      </c>
      <c r="D14" s="160" t="s">
        <v>611</v>
      </c>
      <c r="E14" s="160" t="s">
        <v>165</v>
      </c>
      <c r="F14" s="164"/>
    </row>
    <row r="15" spans="1:28">
      <c r="A15" s="164" t="s">
        <v>626</v>
      </c>
      <c r="B15" s="160" t="s">
        <v>625</v>
      </c>
      <c r="C15" s="161">
        <v>12.8</v>
      </c>
      <c r="D15" s="160" t="s">
        <v>611</v>
      </c>
      <c r="E15" s="160" t="s">
        <v>205</v>
      </c>
      <c r="F15" s="164">
        <v>73</v>
      </c>
    </row>
    <row r="16" spans="1:28">
      <c r="A16" s="164"/>
      <c r="B16" s="160" t="s">
        <v>627</v>
      </c>
      <c r="C16" s="161">
        <v>8.5</v>
      </c>
      <c r="D16" s="160" t="s">
        <v>565</v>
      </c>
      <c r="E16" s="160" t="s">
        <v>52</v>
      </c>
      <c r="F16" s="164"/>
    </row>
    <row r="17" spans="1:6" ht="28">
      <c r="A17" s="164" t="s">
        <v>629</v>
      </c>
      <c r="B17" s="160" t="s">
        <v>291</v>
      </c>
      <c r="C17" s="161">
        <v>14.8</v>
      </c>
      <c r="D17" s="160" t="s">
        <v>628</v>
      </c>
      <c r="E17" s="160" t="s">
        <v>611</v>
      </c>
      <c r="F17" s="164">
        <v>37</v>
      </c>
    </row>
    <row r="18" spans="1:6" ht="28">
      <c r="A18" s="164"/>
      <c r="B18" s="160" t="s">
        <v>289</v>
      </c>
      <c r="C18" s="161">
        <v>7.4</v>
      </c>
      <c r="D18" s="160" t="s">
        <v>628</v>
      </c>
      <c r="E18" s="160" t="s">
        <v>611</v>
      </c>
      <c r="F18" s="164"/>
    </row>
    <row r="19" spans="1:6" ht="26.5" customHeight="1">
      <c r="A19" s="164" t="s">
        <v>633</v>
      </c>
      <c r="B19" s="160" t="s">
        <v>44</v>
      </c>
      <c r="C19" s="161">
        <v>24</v>
      </c>
      <c r="D19" s="160" t="s">
        <v>288</v>
      </c>
      <c r="E19" s="160" t="s">
        <v>433</v>
      </c>
      <c r="F19" s="164"/>
    </row>
    <row r="20" spans="1:6" ht="26.5" customHeight="1">
      <c r="A20" s="164"/>
      <c r="B20" s="160" t="s">
        <v>630</v>
      </c>
      <c r="C20" s="161">
        <v>14</v>
      </c>
      <c r="D20" s="160" t="s">
        <v>631</v>
      </c>
      <c r="E20" s="160" t="s">
        <v>632</v>
      </c>
      <c r="F20" s="164"/>
    </row>
    <row r="21" spans="1:6" ht="28">
      <c r="A21" s="165" t="s">
        <v>635</v>
      </c>
      <c r="B21" s="160" t="s">
        <v>79</v>
      </c>
      <c r="C21" s="161">
        <v>79.8</v>
      </c>
      <c r="D21" s="160" t="s">
        <v>634</v>
      </c>
      <c r="E21" s="160" t="s">
        <v>52</v>
      </c>
      <c r="F21" s="165">
        <v>123</v>
      </c>
    </row>
    <row r="22" spans="1:6" ht="28">
      <c r="A22" s="165"/>
      <c r="B22" s="160" t="s">
        <v>82</v>
      </c>
      <c r="C22" s="161">
        <v>13</v>
      </c>
      <c r="D22" s="160" t="s">
        <v>611</v>
      </c>
      <c r="E22" s="160" t="s">
        <v>104</v>
      </c>
      <c r="F22" s="165"/>
    </row>
    <row r="23" spans="1:6" ht="28">
      <c r="A23" s="164" t="s">
        <v>640</v>
      </c>
      <c r="B23" s="160" t="s">
        <v>636</v>
      </c>
      <c r="C23" s="161">
        <v>3.5</v>
      </c>
      <c r="D23" s="160" t="s">
        <v>144</v>
      </c>
      <c r="E23" s="160" t="s">
        <v>637</v>
      </c>
      <c r="F23" s="164">
        <v>13</v>
      </c>
    </row>
    <row r="24" spans="1:6" ht="28">
      <c r="A24" s="164"/>
      <c r="B24" s="160" t="s">
        <v>638</v>
      </c>
      <c r="C24" s="161">
        <v>5.95</v>
      </c>
      <c r="D24" s="160" t="s">
        <v>611</v>
      </c>
      <c r="E24" s="160" t="s">
        <v>639</v>
      </c>
      <c r="F24" s="164"/>
    </row>
  </sheetData>
  <mergeCells count="22">
    <mergeCell ref="A13:A14"/>
    <mergeCell ref="A3:A4"/>
    <mergeCell ref="A5:A6"/>
    <mergeCell ref="A7:A8"/>
    <mergeCell ref="A9:A10"/>
    <mergeCell ref="A11:A12"/>
    <mergeCell ref="F3:F4"/>
    <mergeCell ref="F5:F6"/>
    <mergeCell ref="F7:F8"/>
    <mergeCell ref="F9:F10"/>
    <mergeCell ref="F11:F12"/>
    <mergeCell ref="F23:F24"/>
    <mergeCell ref="A15:A16"/>
    <mergeCell ref="A17:A18"/>
    <mergeCell ref="A19:A20"/>
    <mergeCell ref="A21:A22"/>
    <mergeCell ref="A23:A24"/>
    <mergeCell ref="F13:F14"/>
    <mergeCell ref="F15:F16"/>
    <mergeCell ref="F17:F18"/>
    <mergeCell ref="F19:F20"/>
    <mergeCell ref="F21:F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FBA54-0C00-41C5-ADF8-AA87B2008D09}">
  <sheetPr>
    <tabColor rgb="FF00B050"/>
  </sheetPr>
  <dimension ref="A1:O24"/>
  <sheetViews>
    <sheetView topLeftCell="A10" zoomScale="74" zoomScaleNormal="60" workbookViewId="0">
      <selection activeCell="D5" sqref="D5"/>
    </sheetView>
  </sheetViews>
  <sheetFormatPr baseColWidth="10" defaultColWidth="10.6640625" defaultRowHeight="13"/>
  <cols>
    <col min="1" max="1" width="31.1640625" style="5" customWidth="1"/>
    <col min="2" max="3" width="12.6640625" style="5" customWidth="1"/>
    <col min="4" max="4" width="22.83203125" style="5" customWidth="1"/>
    <col min="5" max="5" width="16.33203125" style="5" customWidth="1"/>
    <col min="6" max="6" width="18.83203125" style="5" customWidth="1"/>
    <col min="7" max="7" width="31.6640625" style="5" customWidth="1"/>
    <col min="8" max="8" width="45.33203125" style="5" customWidth="1"/>
    <col min="9" max="9" width="40.6640625" style="5" customWidth="1"/>
    <col min="10" max="10" width="10.6640625" style="5"/>
    <col min="11" max="11" width="20.6640625" style="5" customWidth="1"/>
    <col min="12" max="14" width="10.6640625" style="5"/>
    <col min="15" max="15" width="11.6640625" style="5" customWidth="1"/>
    <col min="16" max="16384" width="10.6640625" style="5"/>
  </cols>
  <sheetData>
    <row r="1" spans="1:15" s="4" customFormat="1" ht="67.25" customHeight="1">
      <c r="A1" s="1" t="s">
        <v>0</v>
      </c>
      <c r="B1" s="1" t="s">
        <v>1</v>
      </c>
      <c r="C1" s="1" t="s">
        <v>2</v>
      </c>
      <c r="D1" s="1" t="s">
        <v>3</v>
      </c>
      <c r="E1" s="1" t="s">
        <v>4</v>
      </c>
      <c r="F1" s="57" t="s">
        <v>166</v>
      </c>
      <c r="G1" s="1" t="s">
        <v>17</v>
      </c>
      <c r="H1" s="1" t="s">
        <v>18</v>
      </c>
      <c r="I1" s="1" t="s">
        <v>5</v>
      </c>
      <c r="K1" s="8" t="s">
        <v>6</v>
      </c>
      <c r="L1" s="8" t="s">
        <v>7</v>
      </c>
      <c r="M1" s="8" t="s">
        <v>8</v>
      </c>
      <c r="O1" s="43" t="s">
        <v>19</v>
      </c>
    </row>
    <row r="2" spans="1:15" ht="69.5" customHeight="1">
      <c r="A2" s="2" t="s">
        <v>566</v>
      </c>
      <c r="B2" s="13">
        <v>0.7</v>
      </c>
      <c r="C2" s="14">
        <f>B2*L2</f>
        <v>20.299999999999997</v>
      </c>
      <c r="D2" s="2"/>
      <c r="E2" s="2" t="s">
        <v>557</v>
      </c>
      <c r="F2" s="60">
        <v>0.2</v>
      </c>
      <c r="G2" s="58" t="s">
        <v>168</v>
      </c>
      <c r="H2" s="58" t="s">
        <v>170</v>
      </c>
      <c r="I2" s="2"/>
      <c r="K2" s="6" t="s">
        <v>22</v>
      </c>
      <c r="L2" s="7">
        <v>29</v>
      </c>
      <c r="M2" s="7">
        <v>29</v>
      </c>
      <c r="O2" s="44" t="s">
        <v>23</v>
      </c>
    </row>
    <row r="3" spans="1:15" ht="67" customHeight="1">
      <c r="A3" s="2" t="s">
        <v>24</v>
      </c>
      <c r="B3" s="13">
        <v>0.2</v>
      </c>
      <c r="C3" s="14">
        <f>B3*L2</f>
        <v>5.8000000000000007</v>
      </c>
      <c r="D3" s="2" t="s">
        <v>21</v>
      </c>
      <c r="E3" s="2" t="s">
        <v>12</v>
      </c>
      <c r="F3" s="61">
        <v>0</v>
      </c>
      <c r="G3" s="58" t="s">
        <v>169</v>
      </c>
      <c r="H3" s="58" t="s">
        <v>171</v>
      </c>
      <c r="I3" s="2"/>
      <c r="K3" s="6" t="s">
        <v>25</v>
      </c>
      <c r="L3" s="7">
        <v>27</v>
      </c>
      <c r="M3" s="7">
        <v>27</v>
      </c>
      <c r="O3" s="44" t="s">
        <v>26</v>
      </c>
    </row>
    <row r="4" spans="1:15" ht="54" customHeight="1">
      <c r="A4" s="2" t="s">
        <v>27</v>
      </c>
      <c r="B4" s="13">
        <v>0.1</v>
      </c>
      <c r="C4" s="14">
        <f>B4*(29+27)</f>
        <v>5.6000000000000005</v>
      </c>
      <c r="D4" s="2" t="s">
        <v>28</v>
      </c>
      <c r="E4" s="2" t="s">
        <v>165</v>
      </c>
      <c r="F4" s="60"/>
      <c r="G4" s="58" t="s">
        <v>172</v>
      </c>
      <c r="H4" s="58" t="s">
        <v>171</v>
      </c>
      <c r="I4" s="2"/>
      <c r="K4" s="6" t="s">
        <v>29</v>
      </c>
      <c r="L4" s="7">
        <v>22</v>
      </c>
      <c r="M4" s="7">
        <v>22</v>
      </c>
      <c r="O4" s="42" t="s">
        <v>30</v>
      </c>
    </row>
    <row r="5" spans="1:15" ht="54.5" customHeight="1">
      <c r="A5" s="2" t="s">
        <v>31</v>
      </c>
      <c r="B5" s="13">
        <v>0.7</v>
      </c>
      <c r="C5" s="14">
        <f>B5*L3</f>
        <v>18.899999999999999</v>
      </c>
      <c r="D5" s="2" t="s">
        <v>558</v>
      </c>
      <c r="E5" s="2" t="s">
        <v>34</v>
      </c>
      <c r="F5" s="61">
        <v>0.8</v>
      </c>
      <c r="G5" s="58" t="s">
        <v>186</v>
      </c>
      <c r="H5" s="58" t="s">
        <v>173</v>
      </c>
      <c r="I5" s="2"/>
      <c r="K5" s="6" t="s">
        <v>32</v>
      </c>
      <c r="L5" s="7">
        <v>22</v>
      </c>
      <c r="M5" s="7">
        <v>22</v>
      </c>
    </row>
    <row r="6" spans="1:15" ht="44" customHeight="1">
      <c r="A6" s="2" t="s">
        <v>33</v>
      </c>
      <c r="B6" s="13">
        <v>0.2</v>
      </c>
      <c r="C6" s="14">
        <f>B6*L3</f>
        <v>5.4</v>
      </c>
      <c r="D6" s="2"/>
      <c r="E6" s="2" t="s">
        <v>557</v>
      </c>
      <c r="F6" s="61">
        <v>1</v>
      </c>
      <c r="G6" s="2" t="s">
        <v>185</v>
      </c>
      <c r="H6" s="2"/>
      <c r="I6" s="2"/>
      <c r="K6" s="6" t="s">
        <v>35</v>
      </c>
      <c r="L6" s="7">
        <v>21</v>
      </c>
      <c r="M6" s="7">
        <v>21</v>
      </c>
      <c r="N6" s="11"/>
    </row>
    <row r="7" spans="1:15" ht="56" customHeight="1">
      <c r="A7" s="2" t="s">
        <v>567</v>
      </c>
      <c r="B7" s="13">
        <v>0.3</v>
      </c>
      <c r="C7" s="14">
        <f>B7*L5</f>
        <v>6.6</v>
      </c>
      <c r="D7" s="2" t="s">
        <v>36</v>
      </c>
      <c r="E7" s="2" t="s">
        <v>165</v>
      </c>
      <c r="F7" s="60">
        <v>0.4</v>
      </c>
      <c r="G7" s="2"/>
      <c r="H7" s="2"/>
      <c r="I7" s="2"/>
      <c r="K7" s="55" t="s">
        <v>190</v>
      </c>
      <c r="L7" s="56">
        <v>24</v>
      </c>
      <c r="M7" s="56">
        <v>24</v>
      </c>
      <c r="N7" s="11"/>
    </row>
    <row r="8" spans="1:15" ht="44" customHeight="1">
      <c r="A8" s="2" t="s">
        <v>37</v>
      </c>
      <c r="B8" s="13">
        <v>0.2</v>
      </c>
      <c r="C8" s="14">
        <f>B8*L5</f>
        <v>4.4000000000000004</v>
      </c>
      <c r="D8" s="2"/>
      <c r="E8" s="2" t="s">
        <v>557</v>
      </c>
      <c r="F8" s="60">
        <v>0.2</v>
      </c>
      <c r="G8" s="2"/>
      <c r="H8" s="2"/>
      <c r="I8" s="2"/>
      <c r="K8" s="6" t="s">
        <v>38</v>
      </c>
      <c r="L8" s="7">
        <v>3</v>
      </c>
      <c r="M8" s="7">
        <v>0</v>
      </c>
      <c r="N8" s="11"/>
    </row>
    <row r="9" spans="1:15" ht="75" customHeight="1">
      <c r="A9" s="2" t="s">
        <v>568</v>
      </c>
      <c r="B9" s="13">
        <v>0.5</v>
      </c>
      <c r="C9" s="14">
        <f>B9*L5</f>
        <v>11</v>
      </c>
      <c r="D9" s="2" t="s">
        <v>143</v>
      </c>
      <c r="E9" s="2" t="s">
        <v>12</v>
      </c>
      <c r="F9" s="60">
        <v>0</v>
      </c>
      <c r="G9" s="2"/>
      <c r="H9" s="2" t="s">
        <v>188</v>
      </c>
      <c r="I9" s="2"/>
      <c r="K9" s="6"/>
      <c r="L9" s="7"/>
      <c r="M9" s="7"/>
      <c r="N9" s="11"/>
    </row>
    <row r="10" spans="1:15" ht="41" customHeight="1">
      <c r="A10" s="2" t="s">
        <v>39</v>
      </c>
      <c r="B10" s="13">
        <v>0.7</v>
      </c>
      <c r="C10" s="14">
        <f>B10*L6</f>
        <v>14.7</v>
      </c>
      <c r="D10" s="2" t="s">
        <v>431</v>
      </c>
      <c r="E10" s="2" t="s">
        <v>557</v>
      </c>
      <c r="F10" s="61">
        <v>0.6</v>
      </c>
      <c r="G10" s="2" t="s">
        <v>183</v>
      </c>
      <c r="H10" s="2"/>
      <c r="I10" s="2"/>
      <c r="K10" s="6" t="s">
        <v>40</v>
      </c>
      <c r="L10" s="7">
        <v>8</v>
      </c>
      <c r="M10" s="7">
        <v>0</v>
      </c>
      <c r="N10" s="11"/>
    </row>
    <row r="11" spans="1:15" ht="46" customHeight="1">
      <c r="A11" s="2" t="s">
        <v>41</v>
      </c>
      <c r="B11" s="13">
        <v>0.15</v>
      </c>
      <c r="C11" s="14">
        <f>B11*L6</f>
        <v>3.15</v>
      </c>
      <c r="D11" s="2" t="s">
        <v>21</v>
      </c>
      <c r="E11" s="2" t="s">
        <v>12</v>
      </c>
      <c r="F11" s="61">
        <v>0</v>
      </c>
      <c r="G11" s="17" t="s">
        <v>169</v>
      </c>
      <c r="H11" s="17" t="s">
        <v>184</v>
      </c>
      <c r="I11" s="2"/>
      <c r="K11" s="9" t="s">
        <v>11</v>
      </c>
      <c r="L11" s="9">
        <f>SUM(L1:L10)</f>
        <v>156</v>
      </c>
      <c r="M11" s="9">
        <f>SUM(M1:M10)</f>
        <v>145</v>
      </c>
      <c r="N11" s="11">
        <f>M11/L11</f>
        <v>0.92948717948717952</v>
      </c>
    </row>
    <row r="12" spans="1:15" ht="46.5" customHeight="1">
      <c r="A12" s="2" t="s">
        <v>42</v>
      </c>
      <c r="B12" s="13">
        <v>0.15</v>
      </c>
      <c r="C12" s="14">
        <f>B12*L6</f>
        <v>3.15</v>
      </c>
      <c r="D12" s="5" t="s">
        <v>21</v>
      </c>
      <c r="E12" s="2" t="s">
        <v>43</v>
      </c>
      <c r="F12" s="61">
        <v>1</v>
      </c>
      <c r="G12" s="17" t="s">
        <v>169</v>
      </c>
      <c r="H12" s="17" t="s">
        <v>184</v>
      </c>
      <c r="I12" s="2"/>
      <c r="K12" s="167" t="s">
        <v>444</v>
      </c>
      <c r="L12" s="167"/>
      <c r="M12" s="167"/>
      <c r="N12" s="45"/>
    </row>
    <row r="13" spans="1:15" ht="59.25" customHeight="1">
      <c r="A13" s="19" t="s">
        <v>569</v>
      </c>
      <c r="B13" s="13">
        <v>1</v>
      </c>
      <c r="C13" s="14">
        <f>B13*L4</f>
        <v>22</v>
      </c>
      <c r="D13" s="2" t="s">
        <v>288</v>
      </c>
      <c r="E13" s="2" t="s">
        <v>559</v>
      </c>
      <c r="F13" s="61">
        <v>0.85</v>
      </c>
      <c r="G13" s="2" t="s">
        <v>176</v>
      </c>
      <c r="H13" s="2" t="s">
        <v>175</v>
      </c>
      <c r="I13" s="2" t="s">
        <v>187</v>
      </c>
      <c r="K13" s="59" t="s">
        <v>167</v>
      </c>
      <c r="L13" s="21"/>
      <c r="M13" s="21"/>
    </row>
    <row r="14" spans="1:15" ht="105.5" customHeight="1">
      <c r="A14" s="19" t="s">
        <v>570</v>
      </c>
      <c r="B14" s="13">
        <v>1</v>
      </c>
      <c r="C14" s="14">
        <f>B14*L4</f>
        <v>22</v>
      </c>
      <c r="D14" s="2" t="s">
        <v>288</v>
      </c>
      <c r="E14" s="2" t="s">
        <v>559</v>
      </c>
      <c r="F14" s="61">
        <v>0.5</v>
      </c>
      <c r="G14" s="2" t="s">
        <v>174</v>
      </c>
      <c r="H14" s="2" t="s">
        <v>571</v>
      </c>
      <c r="I14" s="2"/>
      <c r="K14" s="20"/>
      <c r="L14" s="21"/>
      <c r="M14" s="21"/>
      <c r="N14" s="46"/>
    </row>
    <row r="15" spans="1:15" ht="63.5" customHeight="1">
      <c r="A15" s="19" t="s">
        <v>572</v>
      </c>
      <c r="B15" s="13">
        <v>1</v>
      </c>
      <c r="C15" s="14">
        <v>1</v>
      </c>
      <c r="D15" s="2" t="s">
        <v>177</v>
      </c>
      <c r="E15" s="2" t="s">
        <v>165</v>
      </c>
      <c r="F15" s="61">
        <v>0</v>
      </c>
      <c r="G15" s="2" t="s">
        <v>189</v>
      </c>
      <c r="H15" s="2" t="s">
        <v>182</v>
      </c>
      <c r="I15" s="2" t="s">
        <v>178</v>
      </c>
      <c r="K15" s="20"/>
      <c r="L15" s="21"/>
      <c r="M15" s="21"/>
      <c r="N15" s="46"/>
    </row>
    <row r="16" spans="1:15" ht="76.5" customHeight="1">
      <c r="A16" s="19" t="s">
        <v>573</v>
      </c>
      <c r="B16" s="13">
        <v>1</v>
      </c>
      <c r="C16" s="14">
        <v>1</v>
      </c>
      <c r="D16" s="2" t="s">
        <v>206</v>
      </c>
      <c r="E16" s="2" t="s">
        <v>207</v>
      </c>
      <c r="F16" s="61">
        <v>0</v>
      </c>
      <c r="G16" s="2" t="s">
        <v>189</v>
      </c>
      <c r="H16" s="2" t="s">
        <v>181</v>
      </c>
      <c r="I16" s="2" t="s">
        <v>178</v>
      </c>
      <c r="K16" s="20"/>
      <c r="L16" s="21"/>
      <c r="M16" s="21"/>
      <c r="N16" s="46"/>
    </row>
    <row r="17" spans="1:14" ht="85" customHeight="1">
      <c r="A17" s="19" t="s">
        <v>574</v>
      </c>
      <c r="B17" s="13">
        <v>1</v>
      </c>
      <c r="C17" s="14">
        <v>1</v>
      </c>
      <c r="D17" s="2" t="s">
        <v>698</v>
      </c>
      <c r="E17" s="2" t="s">
        <v>699</v>
      </c>
      <c r="F17" s="61">
        <v>0.6</v>
      </c>
      <c r="G17" s="2" t="s">
        <v>179</v>
      </c>
      <c r="H17" s="2" t="s">
        <v>180</v>
      </c>
      <c r="I17" s="2"/>
      <c r="K17" s="20"/>
      <c r="L17" s="21"/>
      <c r="M17" s="21"/>
      <c r="N17" s="46"/>
    </row>
    <row r="18" spans="1:14" ht="40.25" customHeight="1">
      <c r="A18" s="3" t="s">
        <v>11</v>
      </c>
      <c r="B18" s="3" t="s">
        <v>14</v>
      </c>
      <c r="C18" s="15">
        <f>SUM(C2:C14)</f>
        <v>143</v>
      </c>
      <c r="D18" s="3"/>
      <c r="E18" s="3"/>
      <c r="F18" s="3"/>
      <c r="G18" s="3"/>
      <c r="H18" s="3"/>
      <c r="I18" s="3" t="s">
        <v>15</v>
      </c>
    </row>
    <row r="19" spans="1:14" ht="40.25" customHeight="1"/>
    <row r="20" spans="1:14" ht="30" customHeight="1">
      <c r="A20" s="10" t="s">
        <v>16</v>
      </c>
    </row>
    <row r="21" spans="1:14">
      <c r="A21" s="166"/>
      <c r="B21" s="166"/>
      <c r="C21" s="166"/>
      <c r="D21" s="166"/>
      <c r="E21" s="166"/>
      <c r="F21" s="166"/>
      <c r="G21" s="166"/>
      <c r="H21" s="166"/>
      <c r="I21" s="166"/>
    </row>
    <row r="22" spans="1:14">
      <c r="A22" s="166"/>
      <c r="B22" s="166"/>
      <c r="C22" s="166"/>
      <c r="D22" s="166"/>
      <c r="E22" s="166"/>
      <c r="F22" s="166"/>
      <c r="G22" s="166"/>
      <c r="H22" s="166"/>
      <c r="I22" s="166"/>
    </row>
    <row r="23" spans="1:14">
      <c r="A23" s="166"/>
      <c r="B23" s="166"/>
      <c r="C23" s="166"/>
      <c r="D23" s="166"/>
      <c r="E23" s="166"/>
      <c r="F23" s="166"/>
      <c r="G23" s="166"/>
      <c r="H23" s="166"/>
      <c r="I23" s="166"/>
    </row>
    <row r="24" spans="1:14">
      <c r="A24" s="166"/>
      <c r="B24" s="166"/>
      <c r="C24" s="166"/>
      <c r="D24" s="166"/>
      <c r="E24" s="166"/>
      <c r="F24" s="166"/>
      <c r="G24" s="166"/>
      <c r="H24" s="166"/>
      <c r="I24" s="166"/>
    </row>
  </sheetData>
  <mergeCells count="5">
    <mergeCell ref="A21:I21"/>
    <mergeCell ref="A22:I22"/>
    <mergeCell ref="A23:I23"/>
    <mergeCell ref="A24:I24"/>
    <mergeCell ref="K12:M12"/>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A693-C5E4-497B-91F8-74914E914270}">
  <sheetPr>
    <tabColor rgb="FF00B050"/>
  </sheetPr>
  <dimension ref="A1:O20"/>
  <sheetViews>
    <sheetView zoomScale="78" zoomScaleNormal="60" workbookViewId="0">
      <selection activeCell="B5" sqref="B5"/>
    </sheetView>
  </sheetViews>
  <sheetFormatPr baseColWidth="10" defaultColWidth="10.6640625" defaultRowHeight="66.75" customHeight="1"/>
  <cols>
    <col min="1" max="1" width="50.83203125" style="34" customWidth="1"/>
    <col min="2" max="3" width="12.6640625" style="4" customWidth="1"/>
    <col min="4" max="4" width="20.6640625" style="5" customWidth="1"/>
    <col min="5" max="6" width="12.6640625" style="5" customWidth="1"/>
    <col min="7" max="8" width="25.6640625" style="5" customWidth="1"/>
    <col min="9" max="9" width="40.6640625" style="5" customWidth="1"/>
    <col min="10" max="10" width="10.6640625" style="5"/>
    <col min="11" max="11" width="20.6640625" style="5" customWidth="1"/>
    <col min="12" max="16384" width="10.6640625" style="5"/>
  </cols>
  <sheetData>
    <row r="1" spans="1:15" s="4" customFormat="1" ht="66.75" customHeight="1">
      <c r="A1" s="1" t="s">
        <v>0</v>
      </c>
      <c r="B1" s="1" t="s">
        <v>1</v>
      </c>
      <c r="C1" s="1" t="s">
        <v>2</v>
      </c>
      <c r="D1" s="1" t="s">
        <v>3</v>
      </c>
      <c r="E1" s="1" t="s">
        <v>4</v>
      </c>
      <c r="F1" s="57" t="s">
        <v>166</v>
      </c>
      <c r="G1" s="1" t="s">
        <v>17</v>
      </c>
      <c r="H1" s="1" t="s">
        <v>18</v>
      </c>
      <c r="I1" s="1" t="s">
        <v>5</v>
      </c>
      <c r="K1" s="1" t="s">
        <v>6</v>
      </c>
      <c r="L1" s="1" t="s">
        <v>7</v>
      </c>
      <c r="M1" s="1" t="s">
        <v>8</v>
      </c>
      <c r="O1" s="43" t="s">
        <v>19</v>
      </c>
    </row>
    <row r="2" spans="1:15" ht="66.75" customHeight="1">
      <c r="A2" s="94" t="s">
        <v>575</v>
      </c>
      <c r="B2" s="95">
        <v>0.3</v>
      </c>
      <c r="C2" s="96">
        <f t="shared" ref="C2:C6" si="0">$L$2*B2</f>
        <v>27.9</v>
      </c>
      <c r="D2" s="97" t="s">
        <v>576</v>
      </c>
      <c r="E2" s="97" t="s">
        <v>560</v>
      </c>
      <c r="F2" s="98">
        <v>0.5</v>
      </c>
      <c r="G2" s="97" t="s">
        <v>454</v>
      </c>
      <c r="H2" s="97" t="s">
        <v>448</v>
      </c>
      <c r="I2" s="97" t="s">
        <v>263</v>
      </c>
      <c r="K2" s="17" t="s">
        <v>45</v>
      </c>
      <c r="L2" s="18">
        <v>93</v>
      </c>
      <c r="M2" s="18">
        <v>93</v>
      </c>
      <c r="O2" s="44" t="s">
        <v>46</v>
      </c>
    </row>
    <row r="3" spans="1:15" ht="66.75" customHeight="1">
      <c r="A3" s="99" t="s">
        <v>577</v>
      </c>
      <c r="B3" s="100">
        <v>0.15</v>
      </c>
      <c r="C3" s="96">
        <f t="shared" si="0"/>
        <v>13.95</v>
      </c>
      <c r="D3" s="101" t="s">
        <v>447</v>
      </c>
      <c r="E3" s="97" t="s">
        <v>57</v>
      </c>
      <c r="F3" s="102">
        <v>0.05</v>
      </c>
      <c r="G3" s="101" t="s">
        <v>408</v>
      </c>
      <c r="H3" s="101" t="s">
        <v>409</v>
      </c>
      <c r="I3" s="101" t="s">
        <v>263</v>
      </c>
      <c r="K3" s="17" t="s">
        <v>47</v>
      </c>
      <c r="L3" s="18">
        <v>15</v>
      </c>
      <c r="M3" s="18">
        <v>15</v>
      </c>
    </row>
    <row r="4" spans="1:15" ht="66.75" customHeight="1">
      <c r="A4" s="99" t="s">
        <v>578</v>
      </c>
      <c r="B4" s="100">
        <v>0.15</v>
      </c>
      <c r="C4" s="96">
        <f t="shared" si="0"/>
        <v>13.95</v>
      </c>
      <c r="D4" s="101" t="s">
        <v>553</v>
      </c>
      <c r="E4" s="97" t="s">
        <v>57</v>
      </c>
      <c r="F4" s="102">
        <v>0.2</v>
      </c>
      <c r="G4" s="101" t="s">
        <v>410</v>
      </c>
      <c r="H4" s="101" t="s">
        <v>449</v>
      </c>
      <c r="I4" s="101" t="s">
        <v>263</v>
      </c>
      <c r="K4" s="17" t="s">
        <v>48</v>
      </c>
      <c r="L4" s="18">
        <v>9</v>
      </c>
      <c r="M4" s="18">
        <v>9</v>
      </c>
    </row>
    <row r="5" spans="1:15" ht="66.75" customHeight="1">
      <c r="A5" s="99" t="s">
        <v>579</v>
      </c>
      <c r="B5" s="100">
        <v>0.1</v>
      </c>
      <c r="C5" s="96">
        <f t="shared" si="0"/>
        <v>9.3000000000000007</v>
      </c>
      <c r="D5" s="101" t="s">
        <v>553</v>
      </c>
      <c r="E5" s="97" t="s">
        <v>561</v>
      </c>
      <c r="F5" s="102">
        <v>0.35</v>
      </c>
      <c r="G5" s="101" t="s">
        <v>411</v>
      </c>
      <c r="H5" s="101" t="s">
        <v>412</v>
      </c>
      <c r="I5" s="101" t="s">
        <v>263</v>
      </c>
      <c r="K5" s="17" t="s">
        <v>49</v>
      </c>
      <c r="L5" s="18">
        <v>6</v>
      </c>
      <c r="M5" s="18">
        <v>6</v>
      </c>
    </row>
    <row r="6" spans="1:15" ht="66.75" customHeight="1">
      <c r="A6" s="99" t="s">
        <v>580</v>
      </c>
      <c r="B6" s="100">
        <v>0.05</v>
      </c>
      <c r="C6" s="96">
        <f t="shared" si="0"/>
        <v>4.6500000000000004</v>
      </c>
      <c r="D6" s="101" t="s">
        <v>12</v>
      </c>
      <c r="E6" s="97" t="s">
        <v>57</v>
      </c>
      <c r="F6" s="102">
        <v>0.5</v>
      </c>
      <c r="G6" s="101" t="s">
        <v>413</v>
      </c>
      <c r="H6" s="101" t="s">
        <v>414</v>
      </c>
      <c r="I6" s="101" t="s">
        <v>263</v>
      </c>
      <c r="K6" s="17" t="s">
        <v>50</v>
      </c>
      <c r="L6" s="18">
        <v>3</v>
      </c>
      <c r="M6" s="18">
        <v>3</v>
      </c>
      <c r="N6" s="11"/>
    </row>
    <row r="7" spans="1:15" ht="66.75" customHeight="1">
      <c r="A7" s="99" t="s">
        <v>581</v>
      </c>
      <c r="B7" s="100">
        <v>0.2</v>
      </c>
      <c r="C7" s="96">
        <v>23</v>
      </c>
      <c r="D7" s="101" t="s">
        <v>12</v>
      </c>
      <c r="E7" s="97" t="s">
        <v>57</v>
      </c>
      <c r="F7" s="102">
        <v>0.1</v>
      </c>
      <c r="G7" s="101" t="s">
        <v>415</v>
      </c>
      <c r="H7" s="101" t="s">
        <v>416</v>
      </c>
      <c r="I7" s="101" t="s">
        <v>263</v>
      </c>
      <c r="K7" s="169" t="s">
        <v>444</v>
      </c>
      <c r="L7" s="169"/>
      <c r="M7" s="169"/>
      <c r="N7" s="11"/>
    </row>
    <row r="8" spans="1:15" ht="66.75" customHeight="1">
      <c r="A8" s="99" t="s">
        <v>582</v>
      </c>
      <c r="B8" s="100">
        <v>0.05</v>
      </c>
      <c r="C8" s="96">
        <v>5</v>
      </c>
      <c r="D8" s="101" t="s">
        <v>288</v>
      </c>
      <c r="E8" s="97" t="s">
        <v>57</v>
      </c>
      <c r="F8" s="102">
        <v>0.1</v>
      </c>
      <c r="G8" s="101" t="s">
        <v>417</v>
      </c>
      <c r="H8" s="101" t="s">
        <v>452</v>
      </c>
      <c r="I8" s="101" t="s">
        <v>263</v>
      </c>
      <c r="K8" s="103"/>
      <c r="L8" s="104">
        <f>SUM(L2:L6)</f>
        <v>126</v>
      </c>
      <c r="M8" s="104"/>
      <c r="N8" s="11"/>
    </row>
    <row r="9" spans="1:15" ht="70.5" customHeight="1">
      <c r="A9" s="105" t="s">
        <v>583</v>
      </c>
      <c r="B9" s="100">
        <v>1</v>
      </c>
      <c r="C9" s="96">
        <f>$L$3*B9</f>
        <v>15</v>
      </c>
      <c r="D9" s="101" t="s">
        <v>12</v>
      </c>
      <c r="E9" s="97" t="s">
        <v>57</v>
      </c>
      <c r="F9" s="102">
        <v>0.4</v>
      </c>
      <c r="G9" s="101" t="s">
        <v>453</v>
      </c>
      <c r="H9" s="101" t="s">
        <v>451</v>
      </c>
      <c r="I9" s="101" t="s">
        <v>263</v>
      </c>
      <c r="K9" s="106"/>
      <c r="L9" s="32"/>
      <c r="M9" s="32"/>
      <c r="N9" s="11"/>
    </row>
    <row r="10" spans="1:15" ht="66.75" customHeight="1">
      <c r="A10" s="2" t="s">
        <v>584</v>
      </c>
      <c r="B10" s="13">
        <v>1</v>
      </c>
      <c r="C10" s="96">
        <f>$L$4*B10</f>
        <v>9</v>
      </c>
      <c r="D10" s="2" t="s">
        <v>553</v>
      </c>
      <c r="E10" s="97" t="s">
        <v>57</v>
      </c>
      <c r="F10" s="13">
        <v>0.35</v>
      </c>
      <c r="G10" s="2" t="s">
        <v>418</v>
      </c>
      <c r="H10" s="2" t="s">
        <v>419</v>
      </c>
      <c r="I10" s="2"/>
      <c r="K10" s="107"/>
      <c r="L10" s="104"/>
      <c r="M10" s="104"/>
    </row>
    <row r="11" spans="1:15" ht="132" customHeight="1">
      <c r="A11" s="2" t="s">
        <v>420</v>
      </c>
      <c r="B11" s="13">
        <v>1</v>
      </c>
      <c r="C11" s="96">
        <f>6*B11</f>
        <v>6</v>
      </c>
      <c r="D11" s="2" t="s">
        <v>554</v>
      </c>
      <c r="E11" s="97" t="s">
        <v>57</v>
      </c>
      <c r="F11" s="13">
        <v>0.5</v>
      </c>
      <c r="G11" s="2" t="s">
        <v>450</v>
      </c>
      <c r="H11" s="2" t="s">
        <v>421</v>
      </c>
      <c r="I11" s="2"/>
    </row>
    <row r="12" spans="1:15" ht="84" customHeight="1">
      <c r="A12" s="2" t="s">
        <v>446</v>
      </c>
      <c r="B12" s="13">
        <v>0.3</v>
      </c>
      <c r="C12" s="96">
        <v>1.5</v>
      </c>
      <c r="D12" s="2" t="s">
        <v>12</v>
      </c>
      <c r="E12" s="97" t="s">
        <v>57</v>
      </c>
      <c r="F12" s="13">
        <v>0.8</v>
      </c>
      <c r="G12" s="2" t="s">
        <v>415</v>
      </c>
      <c r="H12" s="2" t="s">
        <v>416</v>
      </c>
      <c r="I12" s="2"/>
    </row>
    <row r="13" spans="1:15" ht="66.75" customHeight="1">
      <c r="A13" s="2" t="s">
        <v>422</v>
      </c>
      <c r="B13" s="13">
        <v>0.7</v>
      </c>
      <c r="C13" s="96">
        <v>1.5</v>
      </c>
      <c r="D13" s="2" t="s">
        <v>562</v>
      </c>
      <c r="E13" s="97" t="s">
        <v>563</v>
      </c>
      <c r="F13" s="13"/>
      <c r="G13" s="2"/>
      <c r="H13" s="2"/>
      <c r="I13" s="2"/>
    </row>
    <row r="14" spans="1:15" ht="66.75" customHeight="1">
      <c r="A14" s="3" t="s">
        <v>11</v>
      </c>
      <c r="B14" s="3" t="s">
        <v>14</v>
      </c>
      <c r="C14" s="15">
        <f>SUM(C2:C13)</f>
        <v>130.75</v>
      </c>
      <c r="D14" s="3"/>
      <c r="E14" s="3"/>
      <c r="F14" s="3"/>
      <c r="G14" s="3"/>
      <c r="H14" s="3"/>
      <c r="I14" s="3" t="s">
        <v>15</v>
      </c>
    </row>
    <row r="16" spans="1:15" ht="66.75" customHeight="1">
      <c r="A16" s="36" t="s">
        <v>16</v>
      </c>
    </row>
    <row r="17" spans="1:9" ht="66.75" customHeight="1">
      <c r="A17" s="168"/>
      <c r="B17" s="168"/>
      <c r="C17" s="168"/>
      <c r="D17" s="168"/>
      <c r="E17" s="168"/>
      <c r="F17" s="168"/>
      <c r="G17" s="168"/>
      <c r="H17" s="168"/>
      <c r="I17" s="168"/>
    </row>
    <row r="18" spans="1:9" ht="66.75" customHeight="1">
      <c r="A18" s="168"/>
      <c r="B18" s="168"/>
      <c r="C18" s="168"/>
      <c r="D18" s="168"/>
      <c r="E18" s="168"/>
      <c r="F18" s="168"/>
      <c r="G18" s="168"/>
      <c r="H18" s="168"/>
      <c r="I18" s="168"/>
    </row>
    <row r="19" spans="1:9" ht="66.75" customHeight="1">
      <c r="A19" s="168"/>
      <c r="B19" s="168"/>
      <c r="C19" s="168"/>
      <c r="D19" s="168"/>
      <c r="E19" s="168"/>
      <c r="F19" s="168"/>
      <c r="G19" s="168"/>
      <c r="H19" s="168"/>
      <c r="I19" s="168"/>
    </row>
    <row r="20" spans="1:9" ht="66.75" customHeight="1">
      <c r="A20" s="168"/>
      <c r="B20" s="168"/>
      <c r="C20" s="168"/>
      <c r="D20" s="168"/>
      <c r="E20" s="168"/>
      <c r="F20" s="168"/>
      <c r="G20" s="168"/>
      <c r="H20" s="168"/>
      <c r="I20" s="168"/>
    </row>
  </sheetData>
  <mergeCells count="5">
    <mergeCell ref="A17:I17"/>
    <mergeCell ref="A18:I18"/>
    <mergeCell ref="A19:I19"/>
    <mergeCell ref="A20:I20"/>
    <mergeCell ref="K7:M7"/>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0C3D4-9839-49F2-9B15-5C025FE6ADE9}">
  <sheetPr>
    <tabColor rgb="FF00B050"/>
  </sheetPr>
  <dimension ref="A1:O17"/>
  <sheetViews>
    <sheetView zoomScale="90" zoomScaleNormal="90" workbookViewId="0">
      <pane ySplit="1" topLeftCell="A2" activePane="bottomLeft" state="frozen"/>
      <selection pane="bottomLeft" activeCell="D5" sqref="D5"/>
    </sheetView>
  </sheetViews>
  <sheetFormatPr baseColWidth="10" defaultColWidth="10.6640625" defaultRowHeight="13"/>
  <cols>
    <col min="1" max="1" width="34.6640625" style="75" customWidth="1"/>
    <col min="2" max="2" width="16.6640625" style="4" customWidth="1"/>
    <col min="3" max="3" width="8.5" style="4" bestFit="1" customWidth="1"/>
    <col min="4" max="5" width="20.6640625" style="75" customWidth="1"/>
    <col min="6" max="6" width="10.83203125" style="75" customWidth="1"/>
    <col min="7" max="7" width="65.5" style="75" customWidth="1"/>
    <col min="8" max="8" width="23.1640625" style="75" bestFit="1" customWidth="1"/>
    <col min="9" max="9" width="44.1640625" style="75" customWidth="1"/>
    <col min="10" max="10" width="10.6640625" style="75"/>
    <col min="11" max="11" width="29.83203125" style="75" bestFit="1" customWidth="1"/>
    <col min="12" max="12" width="7.83203125" style="75" bestFit="1" customWidth="1"/>
    <col min="13" max="13" width="18.1640625" style="75" bestFit="1" customWidth="1"/>
    <col min="14" max="14" width="7.1640625" style="75" bestFit="1" customWidth="1"/>
    <col min="15" max="15" width="65.1640625" style="75" bestFit="1" customWidth="1"/>
    <col min="16" max="16" width="12.5" style="75" bestFit="1" customWidth="1"/>
    <col min="17" max="16384" width="10.6640625" style="75"/>
  </cols>
  <sheetData>
    <row r="1" spans="1:15" ht="56">
      <c r="A1" s="81" t="s">
        <v>0</v>
      </c>
      <c r="B1" s="1" t="s">
        <v>1</v>
      </c>
      <c r="C1" s="1" t="s">
        <v>2</v>
      </c>
      <c r="D1" s="81" t="s">
        <v>3</v>
      </c>
      <c r="E1" s="81" t="s">
        <v>4</v>
      </c>
      <c r="F1" s="82" t="s">
        <v>166</v>
      </c>
      <c r="G1" s="81" t="s">
        <v>17</v>
      </c>
      <c r="H1" s="81" t="s">
        <v>18</v>
      </c>
      <c r="I1" s="81" t="s">
        <v>5</v>
      </c>
      <c r="K1" s="108" t="s">
        <v>6</v>
      </c>
      <c r="L1" s="108" t="s">
        <v>7</v>
      </c>
      <c r="M1" s="108" t="s">
        <v>8</v>
      </c>
      <c r="O1" s="76" t="s">
        <v>19</v>
      </c>
    </row>
    <row r="2" spans="1:15" ht="75" customHeight="1">
      <c r="A2" s="109" t="s">
        <v>342</v>
      </c>
      <c r="B2" s="122">
        <v>9.7000000000000003E-2</v>
      </c>
      <c r="C2" s="110">
        <v>6.6</v>
      </c>
      <c r="D2" s="111" t="s">
        <v>263</v>
      </c>
      <c r="E2" s="112" t="s">
        <v>57</v>
      </c>
      <c r="F2" s="113">
        <v>0.3</v>
      </c>
      <c r="G2" s="114" t="s">
        <v>343</v>
      </c>
      <c r="H2" s="114" t="s">
        <v>263</v>
      </c>
      <c r="I2" s="114" t="s">
        <v>263</v>
      </c>
      <c r="K2" s="115" t="s">
        <v>371</v>
      </c>
      <c r="L2" s="116">
        <v>15</v>
      </c>
      <c r="M2" s="117"/>
      <c r="O2" s="78" t="s">
        <v>51</v>
      </c>
    </row>
    <row r="3" spans="1:15" ht="75" customHeight="1">
      <c r="A3" s="118" t="s">
        <v>344</v>
      </c>
      <c r="B3" s="122">
        <v>0.11700000000000001</v>
      </c>
      <c r="C3" s="110">
        <v>7.9</v>
      </c>
      <c r="D3" s="111" t="s">
        <v>263</v>
      </c>
      <c r="E3" s="112" t="s">
        <v>345</v>
      </c>
      <c r="F3" s="113">
        <v>0.48</v>
      </c>
      <c r="G3" s="114" t="s">
        <v>346</v>
      </c>
      <c r="H3" s="114" t="s">
        <v>347</v>
      </c>
      <c r="I3" s="114" t="s">
        <v>263</v>
      </c>
      <c r="K3" s="115" t="s">
        <v>372</v>
      </c>
      <c r="L3" s="116">
        <v>8</v>
      </c>
      <c r="M3" s="117"/>
      <c r="O3" s="78" t="s">
        <v>53</v>
      </c>
    </row>
    <row r="4" spans="1:15" ht="75" customHeight="1">
      <c r="A4" s="109" t="s">
        <v>348</v>
      </c>
      <c r="B4" s="122">
        <v>7.0999999999999994E-2</v>
      </c>
      <c r="C4" s="110">
        <v>4.7</v>
      </c>
      <c r="D4" s="111" t="s">
        <v>60</v>
      </c>
      <c r="E4" s="112" t="s">
        <v>349</v>
      </c>
      <c r="F4" s="113">
        <v>0.55000000000000004</v>
      </c>
      <c r="G4" s="114" t="s">
        <v>350</v>
      </c>
      <c r="H4" s="114" t="s">
        <v>351</v>
      </c>
      <c r="I4" s="114" t="s">
        <v>352</v>
      </c>
      <c r="K4" s="115" t="s">
        <v>373</v>
      </c>
      <c r="L4" s="116">
        <v>7</v>
      </c>
      <c r="M4" s="117"/>
    </row>
    <row r="5" spans="1:15" ht="75" customHeight="1">
      <c r="A5" s="109" t="s">
        <v>353</v>
      </c>
      <c r="B5" s="122">
        <v>0.14599999999999999</v>
      </c>
      <c r="C5" s="110">
        <v>10</v>
      </c>
      <c r="D5" s="111" t="s">
        <v>58</v>
      </c>
      <c r="E5" s="112" t="s">
        <v>345</v>
      </c>
      <c r="F5" s="113">
        <v>0.65</v>
      </c>
      <c r="G5" s="114" t="s">
        <v>354</v>
      </c>
      <c r="H5" s="114" t="s">
        <v>456</v>
      </c>
      <c r="I5" s="114" t="s">
        <v>355</v>
      </c>
      <c r="K5" s="115" t="s">
        <v>374</v>
      </c>
      <c r="L5" s="116">
        <v>17</v>
      </c>
      <c r="M5" s="117"/>
    </row>
    <row r="6" spans="1:15" ht="75" customHeight="1">
      <c r="A6" s="118" t="s">
        <v>356</v>
      </c>
      <c r="B6" s="122">
        <v>0.107</v>
      </c>
      <c r="C6" s="110">
        <v>5.4</v>
      </c>
      <c r="D6" s="111" t="s">
        <v>263</v>
      </c>
      <c r="E6" s="112" t="s">
        <v>57</v>
      </c>
      <c r="F6" s="113">
        <v>0.3</v>
      </c>
      <c r="G6" s="114" t="s">
        <v>357</v>
      </c>
      <c r="H6" s="114" t="s">
        <v>358</v>
      </c>
      <c r="I6" s="114" t="s">
        <v>263</v>
      </c>
      <c r="K6" s="115" t="s">
        <v>365</v>
      </c>
      <c r="L6" s="116">
        <v>5</v>
      </c>
      <c r="M6" s="117"/>
      <c r="N6" s="79"/>
    </row>
    <row r="7" spans="1:15" ht="75" customHeight="1">
      <c r="A7" s="118" t="s">
        <v>359</v>
      </c>
      <c r="B7" s="122">
        <v>8.6999999999999994E-2</v>
      </c>
      <c r="C7" s="110">
        <v>5.9</v>
      </c>
      <c r="D7" s="111" t="s">
        <v>263</v>
      </c>
      <c r="E7" s="112" t="s">
        <v>57</v>
      </c>
      <c r="F7" s="113">
        <v>0.4</v>
      </c>
      <c r="G7" s="114" t="s">
        <v>458</v>
      </c>
      <c r="H7" s="114" t="s">
        <v>360</v>
      </c>
      <c r="I7" s="114" t="s">
        <v>361</v>
      </c>
      <c r="K7" s="115" t="s">
        <v>375</v>
      </c>
      <c r="L7" s="116">
        <v>6</v>
      </c>
      <c r="M7" s="117"/>
      <c r="N7" s="79"/>
    </row>
    <row r="8" spans="1:15" ht="75" customHeight="1">
      <c r="A8" s="118" t="s">
        <v>362</v>
      </c>
      <c r="B8" s="122">
        <v>0.17799999999999999</v>
      </c>
      <c r="C8" s="110">
        <v>15.1</v>
      </c>
      <c r="D8" s="111" t="s">
        <v>263</v>
      </c>
      <c r="E8" s="119" t="s">
        <v>52</v>
      </c>
      <c r="F8" s="113">
        <v>0.35</v>
      </c>
      <c r="G8" s="114" t="s">
        <v>455</v>
      </c>
      <c r="H8" s="114" t="s">
        <v>363</v>
      </c>
      <c r="I8" s="114" t="s">
        <v>364</v>
      </c>
      <c r="K8" s="115" t="s">
        <v>376</v>
      </c>
      <c r="L8" s="116">
        <v>8</v>
      </c>
      <c r="M8" s="117"/>
      <c r="N8" s="79"/>
    </row>
    <row r="9" spans="1:15" ht="75" customHeight="1">
      <c r="A9" s="118" t="s">
        <v>365</v>
      </c>
      <c r="B9" s="122">
        <v>0.126</v>
      </c>
      <c r="C9" s="110">
        <v>5.6</v>
      </c>
      <c r="D9" s="111" t="s">
        <v>263</v>
      </c>
      <c r="E9" s="119" t="s">
        <v>52</v>
      </c>
      <c r="F9" s="113">
        <v>0.4</v>
      </c>
      <c r="G9" s="114" t="s">
        <v>366</v>
      </c>
      <c r="H9" s="114" t="s">
        <v>367</v>
      </c>
      <c r="I9" s="114" t="s">
        <v>263</v>
      </c>
      <c r="K9" s="120" t="s">
        <v>11</v>
      </c>
      <c r="L9" s="121">
        <f>SUM(L2:L8)</f>
        <v>66</v>
      </c>
      <c r="M9" s="121">
        <f>SUM(M2:M8)</f>
        <v>0</v>
      </c>
      <c r="N9" s="79"/>
    </row>
    <row r="10" spans="1:15" ht="75" customHeight="1">
      <c r="A10" s="118" t="s">
        <v>368</v>
      </c>
      <c r="B10" s="122">
        <v>7.0999999999999994E-2</v>
      </c>
      <c r="C10" s="110">
        <v>4.8</v>
      </c>
      <c r="D10" s="111" t="s">
        <v>263</v>
      </c>
      <c r="E10" s="119" t="s">
        <v>349</v>
      </c>
      <c r="F10" s="113">
        <v>0.6</v>
      </c>
      <c r="G10" s="114" t="s">
        <v>369</v>
      </c>
      <c r="H10" s="114" t="s">
        <v>370</v>
      </c>
      <c r="I10" s="114" t="s">
        <v>263</v>
      </c>
      <c r="N10" s="79"/>
      <c r="O10" s="77" t="s">
        <v>56</v>
      </c>
    </row>
    <row r="11" spans="1:15">
      <c r="A11" s="26" t="s">
        <v>11</v>
      </c>
      <c r="B11" s="123">
        <f>SUM(B2:B10)</f>
        <v>0.99999999999999989</v>
      </c>
      <c r="C11" s="90">
        <f>SUM(C2:C10)</f>
        <v>66</v>
      </c>
      <c r="D11" s="26"/>
      <c r="E11" s="26"/>
      <c r="F11" s="26"/>
      <c r="G11" s="26"/>
      <c r="H11" s="26"/>
      <c r="I11" s="26" t="s">
        <v>15</v>
      </c>
    </row>
    <row r="13" spans="1:15">
      <c r="A13" s="80" t="s">
        <v>16</v>
      </c>
    </row>
    <row r="14" spans="1:15">
      <c r="A14" s="170"/>
      <c r="B14" s="170"/>
      <c r="C14" s="170"/>
      <c r="D14" s="170"/>
      <c r="E14" s="170"/>
      <c r="F14" s="170"/>
      <c r="G14" s="170"/>
      <c r="H14" s="170"/>
      <c r="I14" s="170"/>
    </row>
    <row r="15" spans="1:15">
      <c r="A15" s="170"/>
      <c r="B15" s="170"/>
      <c r="C15" s="170"/>
      <c r="D15" s="170"/>
      <c r="E15" s="170"/>
      <c r="F15" s="170"/>
      <c r="G15" s="170"/>
      <c r="H15" s="170"/>
      <c r="I15" s="170"/>
    </row>
    <row r="16" spans="1:15">
      <c r="A16" s="170"/>
      <c r="B16" s="170"/>
      <c r="C16" s="170"/>
      <c r="D16" s="170"/>
      <c r="E16" s="170"/>
      <c r="F16" s="170"/>
      <c r="G16" s="170"/>
      <c r="H16" s="170"/>
      <c r="I16" s="170"/>
    </row>
    <row r="17" spans="1:9">
      <c r="A17" s="170"/>
      <c r="B17" s="170"/>
      <c r="C17" s="170"/>
      <c r="D17" s="170"/>
      <c r="E17" s="170"/>
      <c r="F17" s="170"/>
      <c r="G17" s="170"/>
      <c r="H17" s="170"/>
      <c r="I17" s="170"/>
    </row>
  </sheetData>
  <autoFilter ref="A1:N1" xr:uid="{2310C3D4-9839-49F2-9B15-5C025FE6ADE9}"/>
  <mergeCells count="4">
    <mergeCell ref="A14:I14"/>
    <mergeCell ref="A15:I15"/>
    <mergeCell ref="A16:I16"/>
    <mergeCell ref="A17:I17"/>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93F13-167D-4D69-A87E-E923C724AEFD}">
  <sheetPr>
    <tabColor rgb="FF00B050"/>
  </sheetPr>
  <dimension ref="A1:O16"/>
  <sheetViews>
    <sheetView zoomScale="90" zoomScaleNormal="60" workbookViewId="0">
      <selection activeCell="A13" sqref="A13:I13"/>
    </sheetView>
  </sheetViews>
  <sheetFormatPr baseColWidth="10" defaultColWidth="10.6640625" defaultRowHeight="13"/>
  <cols>
    <col min="1" max="1" width="33.1640625" style="5" bestFit="1" customWidth="1"/>
    <col min="2" max="2" width="10.6640625" style="86" customWidth="1"/>
    <col min="3" max="3" width="6.1640625" style="86" customWidth="1"/>
    <col min="4" max="4" width="26.1640625" style="5" customWidth="1"/>
    <col min="5" max="5" width="12.6640625" style="34" customWidth="1"/>
    <col min="6" max="6" width="10.33203125" style="86" customWidth="1"/>
    <col min="7" max="7" width="58.1640625" style="34" customWidth="1"/>
    <col min="8" max="8" width="35.1640625" style="5" customWidth="1"/>
    <col min="9" max="9" width="21.1640625" style="34" customWidth="1"/>
    <col min="10" max="10" width="4.1640625" style="5" customWidth="1"/>
    <col min="11" max="11" width="17.5" style="5" customWidth="1"/>
    <col min="12" max="12" width="8.83203125" style="5" customWidth="1"/>
    <col min="13" max="13" width="8.5" style="5" customWidth="1"/>
    <col min="14" max="14" width="4.6640625" style="5" customWidth="1"/>
    <col min="15" max="16384" width="10.6640625" style="5"/>
  </cols>
  <sheetData>
    <row r="1" spans="1:15" s="4" customFormat="1" ht="52.25" customHeight="1">
      <c r="A1" s="1" t="s">
        <v>0</v>
      </c>
      <c r="B1" s="81" t="s">
        <v>1</v>
      </c>
      <c r="C1" s="81" t="s">
        <v>2</v>
      </c>
      <c r="D1" s="1" t="s">
        <v>3</v>
      </c>
      <c r="E1" s="1" t="s">
        <v>4</v>
      </c>
      <c r="F1" s="82" t="s">
        <v>166</v>
      </c>
      <c r="G1" s="1" t="s">
        <v>17</v>
      </c>
      <c r="H1" s="1" t="s">
        <v>18</v>
      </c>
      <c r="I1" s="1" t="s">
        <v>5</v>
      </c>
      <c r="K1" s="1" t="s">
        <v>6</v>
      </c>
      <c r="L1" s="1" t="s">
        <v>7</v>
      </c>
      <c r="M1" s="1" t="s">
        <v>8</v>
      </c>
      <c r="O1" s="43" t="s">
        <v>19</v>
      </c>
    </row>
    <row r="2" spans="1:15" ht="42">
      <c r="A2" s="25" t="s">
        <v>59</v>
      </c>
      <c r="B2" s="124">
        <v>0.55000000000000004</v>
      </c>
      <c r="C2" s="125">
        <v>11</v>
      </c>
      <c r="D2" s="25" t="s">
        <v>221</v>
      </c>
      <c r="E2" s="2" t="s">
        <v>9</v>
      </c>
      <c r="F2" s="124">
        <v>0.05</v>
      </c>
      <c r="G2" s="2" t="s">
        <v>226</v>
      </c>
      <c r="H2" s="25"/>
      <c r="I2" s="2"/>
      <c r="K2" s="17" t="s">
        <v>231</v>
      </c>
      <c r="L2" s="18">
        <v>8</v>
      </c>
      <c r="M2" s="18">
        <v>8</v>
      </c>
      <c r="O2" s="42" t="s">
        <v>61</v>
      </c>
    </row>
    <row r="3" spans="1:15" ht="28">
      <c r="A3" s="25" t="s">
        <v>141</v>
      </c>
      <c r="B3" s="126">
        <v>0.1</v>
      </c>
      <c r="C3" s="127">
        <v>2</v>
      </c>
      <c r="D3" s="2" t="s">
        <v>442</v>
      </c>
      <c r="E3" s="2" t="s">
        <v>435</v>
      </c>
      <c r="F3" s="126">
        <v>0.02</v>
      </c>
      <c r="G3" s="2" t="s">
        <v>224</v>
      </c>
      <c r="H3" s="25" t="s">
        <v>439</v>
      </c>
      <c r="I3" s="2" t="s">
        <v>441</v>
      </c>
      <c r="K3" s="17" t="s">
        <v>232</v>
      </c>
      <c r="L3" s="18">
        <v>1</v>
      </c>
      <c r="M3" s="18">
        <v>1</v>
      </c>
      <c r="N3" s="11"/>
    </row>
    <row r="4" spans="1:15" ht="56">
      <c r="A4" s="2" t="s">
        <v>219</v>
      </c>
      <c r="B4" s="126">
        <v>0.1</v>
      </c>
      <c r="C4" s="127">
        <v>2</v>
      </c>
      <c r="D4" s="2" t="s">
        <v>443</v>
      </c>
      <c r="E4" s="2" t="s">
        <v>436</v>
      </c>
      <c r="F4" s="126">
        <v>0.02</v>
      </c>
      <c r="G4" s="2" t="s">
        <v>225</v>
      </c>
      <c r="H4" s="2" t="s">
        <v>440</v>
      </c>
      <c r="I4" s="2" t="s">
        <v>441</v>
      </c>
      <c r="K4" s="17" t="s">
        <v>235</v>
      </c>
      <c r="L4" s="18">
        <v>2</v>
      </c>
      <c r="M4" s="18">
        <v>2</v>
      </c>
      <c r="O4" s="128"/>
    </row>
    <row r="5" spans="1:15" ht="39" customHeight="1">
      <c r="A5" s="25" t="s">
        <v>215</v>
      </c>
      <c r="B5" s="126">
        <v>0.05</v>
      </c>
      <c r="C5" s="127">
        <v>1</v>
      </c>
      <c r="D5" s="5" t="s">
        <v>220</v>
      </c>
      <c r="E5" s="2" t="s">
        <v>436</v>
      </c>
      <c r="F5" s="126">
        <v>0.05</v>
      </c>
      <c r="G5" s="2" t="s">
        <v>438</v>
      </c>
      <c r="H5" s="25"/>
      <c r="I5" s="2"/>
      <c r="K5" s="17" t="s">
        <v>233</v>
      </c>
      <c r="L5" s="18">
        <v>4</v>
      </c>
      <c r="M5" s="18">
        <v>4</v>
      </c>
      <c r="N5" s="11"/>
    </row>
    <row r="6" spans="1:15" ht="28">
      <c r="A6" s="25" t="s">
        <v>138</v>
      </c>
      <c r="B6" s="126">
        <v>0.05</v>
      </c>
      <c r="C6" s="127">
        <v>1</v>
      </c>
      <c r="D6" s="25" t="s">
        <v>222</v>
      </c>
      <c r="E6" s="2" t="s">
        <v>227</v>
      </c>
      <c r="F6" s="126">
        <v>0.01</v>
      </c>
      <c r="G6" s="2" t="s">
        <v>228</v>
      </c>
      <c r="H6" s="25"/>
      <c r="I6" s="2"/>
      <c r="K6" s="17" t="s">
        <v>234</v>
      </c>
      <c r="L6" s="18">
        <v>2</v>
      </c>
      <c r="M6" s="18">
        <v>2</v>
      </c>
      <c r="N6" s="11"/>
    </row>
    <row r="7" spans="1:15" ht="28">
      <c r="A7" s="25" t="s">
        <v>140</v>
      </c>
      <c r="B7" s="126">
        <v>0.05</v>
      </c>
      <c r="C7" s="127">
        <v>1</v>
      </c>
      <c r="D7" s="25" t="s">
        <v>214</v>
      </c>
      <c r="E7" s="2" t="s">
        <v>227</v>
      </c>
      <c r="F7" s="126">
        <v>0.01</v>
      </c>
      <c r="G7" s="2" t="s">
        <v>229</v>
      </c>
      <c r="H7" s="25"/>
      <c r="I7" s="2"/>
      <c r="K7" s="17" t="s">
        <v>217</v>
      </c>
      <c r="L7" s="18">
        <v>2</v>
      </c>
      <c r="M7" s="18">
        <v>2</v>
      </c>
      <c r="N7" s="11"/>
    </row>
    <row r="8" spans="1:15" ht="57" customHeight="1">
      <c r="A8" s="2" t="s">
        <v>236</v>
      </c>
      <c r="B8" s="126">
        <v>0.05</v>
      </c>
      <c r="C8" s="127">
        <v>1</v>
      </c>
      <c r="D8" s="25" t="s">
        <v>213</v>
      </c>
      <c r="E8" s="2" t="s">
        <v>437</v>
      </c>
      <c r="F8" s="126">
        <v>0.01</v>
      </c>
      <c r="G8" s="2" t="s">
        <v>230</v>
      </c>
      <c r="H8" s="25"/>
      <c r="I8" s="2"/>
      <c r="K8" s="17" t="s">
        <v>216</v>
      </c>
      <c r="L8" s="18">
        <v>1</v>
      </c>
      <c r="M8" s="18">
        <v>1</v>
      </c>
      <c r="N8" s="11"/>
    </row>
    <row r="9" spans="1:15" ht="42">
      <c r="A9" s="25" t="s">
        <v>139</v>
      </c>
      <c r="B9" s="126">
        <v>0.05</v>
      </c>
      <c r="C9" s="127">
        <v>1</v>
      </c>
      <c r="D9" s="25" t="s">
        <v>223</v>
      </c>
      <c r="E9" s="2" t="s">
        <v>436</v>
      </c>
      <c r="F9" s="126">
        <v>0.01</v>
      </c>
      <c r="G9" s="2" t="s">
        <v>142</v>
      </c>
      <c r="H9" s="25"/>
      <c r="I9" s="2"/>
      <c r="K9" s="17"/>
      <c r="L9" s="18" t="s">
        <v>218</v>
      </c>
      <c r="M9" s="18" t="s">
        <v>218</v>
      </c>
      <c r="N9" s="11"/>
    </row>
    <row r="10" spans="1:15" ht="28">
      <c r="A10" s="3" t="s">
        <v>11</v>
      </c>
      <c r="B10" s="84">
        <f>SUM(B2:B9)</f>
        <v>1.0000000000000002</v>
      </c>
      <c r="C10" s="85">
        <f>SUM(C2:C9)</f>
        <v>20</v>
      </c>
      <c r="D10" s="3"/>
      <c r="E10" s="3"/>
      <c r="F10" s="87"/>
      <c r="G10" s="3"/>
      <c r="H10" s="3"/>
      <c r="I10" s="3" t="s">
        <v>15</v>
      </c>
      <c r="K10" s="88" t="s">
        <v>11</v>
      </c>
      <c r="L10" s="89">
        <f>SUM(L2:L9)</f>
        <v>20</v>
      </c>
      <c r="M10" s="89">
        <f>SUM(M2:M9)</f>
        <v>20</v>
      </c>
    </row>
    <row r="11" spans="1:15" ht="14.25" customHeight="1"/>
    <row r="12" spans="1:15" ht="14.25" customHeight="1">
      <c r="A12" s="10" t="s">
        <v>16</v>
      </c>
    </row>
    <row r="13" spans="1:15">
      <c r="A13" s="168"/>
      <c r="B13" s="168"/>
      <c r="C13" s="168"/>
      <c r="D13" s="168"/>
      <c r="E13" s="168"/>
      <c r="F13" s="168"/>
      <c r="G13" s="168"/>
      <c r="H13" s="168"/>
      <c r="I13" s="168"/>
    </row>
    <row r="14" spans="1:15">
      <c r="A14" s="168"/>
      <c r="B14" s="168"/>
      <c r="C14" s="168"/>
      <c r="D14" s="168"/>
      <c r="E14" s="168"/>
      <c r="F14" s="168"/>
      <c r="G14" s="168"/>
      <c r="H14" s="168"/>
      <c r="I14" s="168"/>
    </row>
    <row r="15" spans="1:15">
      <c r="A15" s="168"/>
      <c r="B15" s="168"/>
      <c r="C15" s="168"/>
      <c r="D15" s="168"/>
      <c r="E15" s="168"/>
      <c r="F15" s="168"/>
      <c r="G15" s="168"/>
      <c r="H15" s="168"/>
      <c r="I15" s="168"/>
    </row>
    <row r="16" spans="1:15">
      <c r="A16" s="168"/>
      <c r="B16" s="168"/>
      <c r="C16" s="168"/>
      <c r="D16" s="168"/>
      <c r="E16" s="168"/>
      <c r="F16" s="168"/>
      <c r="G16" s="168"/>
      <c r="H16" s="168"/>
      <c r="I16" s="168"/>
    </row>
  </sheetData>
  <mergeCells count="4">
    <mergeCell ref="A13:I13"/>
    <mergeCell ref="A14:I14"/>
    <mergeCell ref="A15:I15"/>
    <mergeCell ref="A16:I16"/>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C326F-CD2B-4A4A-BCCC-2E3DADA6C4A6}">
  <sheetPr>
    <tabColor rgb="FF00B050"/>
  </sheetPr>
  <dimension ref="A1:O35"/>
  <sheetViews>
    <sheetView zoomScale="84" zoomScaleNormal="60" workbookViewId="0">
      <pane xSplit="1" ySplit="1" topLeftCell="B2" activePane="bottomRight" state="frozen"/>
      <selection pane="topRight" activeCell="B1" sqref="B1"/>
      <selection pane="bottomLeft" activeCell="A2" sqref="A2"/>
      <selection pane="bottomRight" activeCell="C21" sqref="C21"/>
    </sheetView>
  </sheetViews>
  <sheetFormatPr baseColWidth="10" defaultColWidth="10.6640625" defaultRowHeight="13"/>
  <cols>
    <col min="1" max="1" width="59.6640625" style="5" customWidth="1"/>
    <col min="2" max="3" width="12.6640625" style="5" customWidth="1"/>
    <col min="4" max="4" width="20.6640625" style="5" customWidth="1"/>
    <col min="5" max="6" width="12.6640625" style="5" customWidth="1"/>
    <col min="7" max="7" width="28.1640625" style="5" customWidth="1"/>
    <col min="8" max="8" width="25.6640625" style="5" customWidth="1"/>
    <col min="9" max="9" width="28.1640625" style="5" customWidth="1"/>
    <col min="10" max="10" width="5.33203125" style="5" customWidth="1"/>
    <col min="11" max="11" width="21.6640625" style="5" customWidth="1"/>
    <col min="12" max="13" width="10.6640625" style="5" bestFit="1" customWidth="1"/>
    <col min="14" max="14" width="11" style="5" customWidth="1"/>
    <col min="15" max="15" width="11.33203125" style="5" bestFit="1" customWidth="1"/>
    <col min="16" max="16384" width="10.6640625" style="5"/>
  </cols>
  <sheetData>
    <row r="1" spans="1:15" s="4" customFormat="1" ht="60" customHeight="1">
      <c r="A1" s="1" t="s">
        <v>0</v>
      </c>
      <c r="B1" s="1" t="s">
        <v>1</v>
      </c>
      <c r="C1" s="1" t="s">
        <v>2</v>
      </c>
      <c r="D1" s="1" t="s">
        <v>3</v>
      </c>
      <c r="E1" s="1" t="s">
        <v>4</v>
      </c>
      <c r="F1" s="57" t="s">
        <v>166</v>
      </c>
      <c r="G1" s="1" t="s">
        <v>17</v>
      </c>
      <c r="H1" s="1" t="s">
        <v>18</v>
      </c>
      <c r="I1" s="1" t="s">
        <v>5</v>
      </c>
      <c r="K1" s="8" t="s">
        <v>6</v>
      </c>
      <c r="L1" s="8" t="s">
        <v>7</v>
      </c>
      <c r="M1" s="8" t="s">
        <v>8</v>
      </c>
      <c r="O1" s="1" t="s">
        <v>19</v>
      </c>
    </row>
    <row r="2" spans="1:15" ht="70">
      <c r="A2" s="70" t="s">
        <v>377</v>
      </c>
      <c r="B2" s="67">
        <f t="shared" ref="B2:B18" si="0">C2/$M$12</f>
        <v>2.7777777777777776E-2</v>
      </c>
      <c r="C2" s="68">
        <f>1+0.5+0.5</f>
        <v>2</v>
      </c>
      <c r="D2" s="27" t="s">
        <v>531</v>
      </c>
      <c r="E2" s="69" t="s">
        <v>52</v>
      </c>
      <c r="F2" s="69">
        <v>10</v>
      </c>
      <c r="G2" s="93" t="s">
        <v>552</v>
      </c>
      <c r="H2" s="93" t="s">
        <v>543</v>
      </c>
      <c r="I2" s="69" t="s">
        <v>527</v>
      </c>
      <c r="K2" s="6" t="s">
        <v>323</v>
      </c>
      <c r="L2" s="7">
        <f>4+1+1+1</f>
        <v>7</v>
      </c>
      <c r="M2" s="7">
        <f>4+1+1+1</f>
        <v>7</v>
      </c>
      <c r="O2" s="29" t="s">
        <v>340</v>
      </c>
    </row>
    <row r="3" spans="1:15" ht="84">
      <c r="A3" s="40" t="s">
        <v>528</v>
      </c>
      <c r="B3" s="67">
        <f t="shared" si="0"/>
        <v>1.0416666666666666E-2</v>
      </c>
      <c r="C3" s="52">
        <f>0.5+0.25</f>
        <v>0.75</v>
      </c>
      <c r="D3" s="69" t="s">
        <v>332</v>
      </c>
      <c r="E3" s="69" t="s">
        <v>309</v>
      </c>
      <c r="F3" s="69">
        <v>20</v>
      </c>
      <c r="G3" s="27" t="s">
        <v>533</v>
      </c>
      <c r="H3" s="93" t="s">
        <v>544</v>
      </c>
      <c r="I3" s="69" t="s">
        <v>333</v>
      </c>
      <c r="K3" s="6" t="s">
        <v>315</v>
      </c>
      <c r="L3" s="7">
        <v>7</v>
      </c>
      <c r="M3" s="7">
        <v>7</v>
      </c>
    </row>
    <row r="4" spans="1:15" ht="67.5" customHeight="1">
      <c r="A4" s="2" t="s">
        <v>378</v>
      </c>
      <c r="B4" s="67">
        <f t="shared" si="0"/>
        <v>1.3888888888888888E-2</v>
      </c>
      <c r="C4" s="68">
        <f>0.25+0.25+0.25+0.25</f>
        <v>1</v>
      </c>
      <c r="D4" s="27" t="s">
        <v>531</v>
      </c>
      <c r="E4" s="69" t="s">
        <v>309</v>
      </c>
      <c r="F4" s="69">
        <v>20</v>
      </c>
      <c r="G4" s="69" t="s">
        <v>534</v>
      </c>
      <c r="H4" s="93" t="s">
        <v>545</v>
      </c>
      <c r="I4" s="69" t="s">
        <v>423</v>
      </c>
      <c r="K4" s="6" t="s">
        <v>316</v>
      </c>
      <c r="L4" s="7">
        <f>5+1</f>
        <v>6</v>
      </c>
      <c r="M4" s="7">
        <f>5+1</f>
        <v>6</v>
      </c>
    </row>
    <row r="5" spans="1:15" ht="98">
      <c r="A5" s="70" t="s">
        <v>379</v>
      </c>
      <c r="B5" s="67">
        <f t="shared" si="0"/>
        <v>0.10416666666666667</v>
      </c>
      <c r="C5" s="68">
        <f>7+0.5</f>
        <v>7.5</v>
      </c>
      <c r="D5" s="69" t="s">
        <v>324</v>
      </c>
      <c r="E5" s="69" t="s">
        <v>309</v>
      </c>
      <c r="F5" s="69">
        <v>20</v>
      </c>
      <c r="G5" s="93" t="s">
        <v>542</v>
      </c>
      <c r="H5" s="93" t="s">
        <v>546</v>
      </c>
      <c r="I5" s="69" t="s">
        <v>529</v>
      </c>
      <c r="K5" s="6" t="s">
        <v>317</v>
      </c>
      <c r="L5" s="7">
        <f>6+1</f>
        <v>7</v>
      </c>
      <c r="M5" s="7">
        <f>6+1</f>
        <v>7</v>
      </c>
    </row>
    <row r="6" spans="1:15" ht="98">
      <c r="A6" s="69" t="s">
        <v>380</v>
      </c>
      <c r="B6" s="67">
        <f t="shared" si="0"/>
        <v>5.5555555555555552E-2</v>
      </c>
      <c r="C6" s="68">
        <v>4</v>
      </c>
      <c r="D6" s="69" t="s">
        <v>325</v>
      </c>
      <c r="E6" s="69" t="s">
        <v>309</v>
      </c>
      <c r="F6" s="69">
        <v>20</v>
      </c>
      <c r="G6" s="27" t="s">
        <v>541</v>
      </c>
      <c r="H6" s="93" t="s">
        <v>547</v>
      </c>
      <c r="I6" s="69" t="s">
        <v>326</v>
      </c>
      <c r="K6" s="6" t="s">
        <v>318</v>
      </c>
      <c r="L6" s="7">
        <f>13+1</f>
        <v>14</v>
      </c>
      <c r="M6" s="7">
        <f>13+1</f>
        <v>14</v>
      </c>
    </row>
    <row r="7" spans="1:15" ht="70">
      <c r="A7" s="73" t="s">
        <v>381</v>
      </c>
      <c r="B7" s="67">
        <f t="shared" si="0"/>
        <v>7.6388888888888895E-2</v>
      </c>
      <c r="C7" s="68">
        <f>5+0.5</f>
        <v>5.5</v>
      </c>
      <c r="D7" s="69" t="s">
        <v>327</v>
      </c>
      <c r="E7" s="69" t="s">
        <v>309</v>
      </c>
      <c r="F7" s="69">
        <v>20</v>
      </c>
      <c r="G7" s="27" t="s">
        <v>539</v>
      </c>
      <c r="H7" s="93" t="s">
        <v>540</v>
      </c>
      <c r="I7" s="69" t="s">
        <v>328</v>
      </c>
      <c r="K7" s="6" t="s">
        <v>319</v>
      </c>
      <c r="L7" s="7">
        <v>4</v>
      </c>
      <c r="M7" s="7">
        <v>4</v>
      </c>
    </row>
    <row r="8" spans="1:15" ht="28">
      <c r="A8" s="69" t="s">
        <v>382</v>
      </c>
      <c r="B8" s="67">
        <f t="shared" si="0"/>
        <v>1.3888888888888888E-2</v>
      </c>
      <c r="C8" s="68">
        <v>1</v>
      </c>
      <c r="D8" s="27" t="s">
        <v>531</v>
      </c>
      <c r="E8" s="69" t="s">
        <v>309</v>
      </c>
      <c r="F8" s="69">
        <v>10</v>
      </c>
      <c r="G8" s="27" t="s">
        <v>531</v>
      </c>
      <c r="H8" s="69" t="s">
        <v>531</v>
      </c>
      <c r="I8" s="2" t="s">
        <v>329</v>
      </c>
      <c r="K8" s="6" t="s">
        <v>320</v>
      </c>
      <c r="L8" s="7">
        <f>4+2+5+2</f>
        <v>13</v>
      </c>
      <c r="M8" s="7">
        <f>4+2+5+2</f>
        <v>13</v>
      </c>
      <c r="N8" s="11"/>
    </row>
    <row r="9" spans="1:15" ht="42">
      <c r="A9" s="2" t="s">
        <v>383</v>
      </c>
      <c r="B9" s="67">
        <f t="shared" si="0"/>
        <v>0.10416666666666667</v>
      </c>
      <c r="C9" s="14">
        <f>7+0.5</f>
        <v>7.5</v>
      </c>
      <c r="D9" s="27" t="s">
        <v>531</v>
      </c>
      <c r="E9" s="69" t="s">
        <v>52</v>
      </c>
      <c r="F9" s="2">
        <v>20</v>
      </c>
      <c r="G9" s="27" t="s">
        <v>537</v>
      </c>
      <c r="H9" s="2"/>
      <c r="I9" s="2"/>
      <c r="K9" s="6" t="s">
        <v>321</v>
      </c>
      <c r="L9" s="7">
        <v>7</v>
      </c>
      <c r="M9" s="7">
        <v>7</v>
      </c>
      <c r="N9" s="11"/>
    </row>
    <row r="10" spans="1:15" ht="74.25" customHeight="1">
      <c r="A10" s="19" t="s">
        <v>457</v>
      </c>
      <c r="B10" s="67">
        <f t="shared" si="0"/>
        <v>1.3888888888888888E-2</v>
      </c>
      <c r="C10" s="14">
        <f>0.5+0.25+0.25</f>
        <v>1</v>
      </c>
      <c r="D10" s="27" t="s">
        <v>531</v>
      </c>
      <c r="E10" s="69" t="s">
        <v>52</v>
      </c>
      <c r="F10" s="2">
        <v>0</v>
      </c>
      <c r="G10" s="27" t="s">
        <v>532</v>
      </c>
      <c r="H10" s="27" t="s">
        <v>548</v>
      </c>
      <c r="I10" s="2"/>
      <c r="K10" s="6" t="s">
        <v>322</v>
      </c>
      <c r="L10" s="7">
        <v>6</v>
      </c>
      <c r="M10" s="7">
        <v>6</v>
      </c>
    </row>
    <row r="11" spans="1:15" ht="14">
      <c r="A11" s="2" t="s">
        <v>384</v>
      </c>
      <c r="B11" s="67">
        <f t="shared" si="0"/>
        <v>0.1388888888888889</v>
      </c>
      <c r="C11" s="14">
        <f>7.5+2.5</f>
        <v>10</v>
      </c>
      <c r="D11" s="2" t="s">
        <v>394</v>
      </c>
      <c r="E11" s="69" t="s">
        <v>52</v>
      </c>
      <c r="F11" s="2">
        <v>20</v>
      </c>
      <c r="G11" s="27" t="s">
        <v>537</v>
      </c>
      <c r="H11" s="2"/>
      <c r="I11" s="2"/>
      <c r="K11" s="6" t="s">
        <v>393</v>
      </c>
      <c r="L11" s="7">
        <v>1</v>
      </c>
      <c r="M11" s="7">
        <v>1</v>
      </c>
      <c r="N11" s="11"/>
    </row>
    <row r="12" spans="1:15" ht="70">
      <c r="A12" s="2" t="s">
        <v>385</v>
      </c>
      <c r="B12" s="67">
        <f t="shared" si="0"/>
        <v>6.9444444444444448E-2</v>
      </c>
      <c r="C12" s="14">
        <v>5</v>
      </c>
      <c r="D12" s="2" t="s">
        <v>330</v>
      </c>
      <c r="E12" s="69" t="s">
        <v>52</v>
      </c>
      <c r="F12" s="2">
        <v>20</v>
      </c>
      <c r="G12" s="27" t="s">
        <v>538</v>
      </c>
      <c r="H12" s="27" t="s">
        <v>549</v>
      </c>
      <c r="I12" s="2" t="s">
        <v>397</v>
      </c>
      <c r="K12" s="65" t="s">
        <v>11</v>
      </c>
      <c r="L12" s="65">
        <f>SUM(L2:L11)</f>
        <v>72</v>
      </c>
      <c r="M12" s="65">
        <f>SUM(M2:M11)</f>
        <v>72</v>
      </c>
      <c r="N12" s="11">
        <f>M12/L12</f>
        <v>1</v>
      </c>
    </row>
    <row r="13" spans="1:15" ht="14">
      <c r="A13" s="2" t="s">
        <v>386</v>
      </c>
      <c r="B13" s="67">
        <f t="shared" si="0"/>
        <v>5.5555555555555552E-2</v>
      </c>
      <c r="C13" s="14">
        <v>4</v>
      </c>
      <c r="D13" s="2" t="s">
        <v>398</v>
      </c>
      <c r="E13" s="69" t="s">
        <v>52</v>
      </c>
      <c r="F13" s="2">
        <v>30</v>
      </c>
      <c r="G13" s="27" t="s">
        <v>537</v>
      </c>
      <c r="H13" s="74"/>
      <c r="I13" s="2"/>
      <c r="K13" s="20"/>
      <c r="L13" s="21"/>
      <c r="M13" s="21"/>
      <c r="N13" s="11"/>
    </row>
    <row r="14" spans="1:15" ht="28">
      <c r="A14" s="2" t="s">
        <v>387</v>
      </c>
      <c r="B14" s="67">
        <f t="shared" si="0"/>
        <v>3.125E-2</v>
      </c>
      <c r="C14" s="52">
        <f>2+0.25</f>
        <v>2.25</v>
      </c>
      <c r="D14" s="2" t="s">
        <v>399</v>
      </c>
      <c r="E14" s="2" t="s">
        <v>309</v>
      </c>
      <c r="F14" s="2">
        <v>10</v>
      </c>
      <c r="G14" s="2"/>
      <c r="H14" s="74"/>
      <c r="I14" s="2" t="s">
        <v>396</v>
      </c>
      <c r="K14" s="20"/>
      <c r="L14" s="21"/>
      <c r="M14" s="21"/>
      <c r="N14" s="11"/>
    </row>
    <row r="15" spans="1:15" ht="14">
      <c r="A15" s="2" t="s">
        <v>388</v>
      </c>
      <c r="B15" s="67">
        <f t="shared" si="0"/>
        <v>2.4305555555555556E-2</v>
      </c>
      <c r="C15" s="52">
        <f>1.5+0.25</f>
        <v>1.75</v>
      </c>
      <c r="D15" s="2" t="s">
        <v>392</v>
      </c>
      <c r="E15" s="69" t="s">
        <v>52</v>
      </c>
      <c r="F15" s="2">
        <v>10</v>
      </c>
      <c r="G15" s="2"/>
      <c r="H15" s="74"/>
      <c r="I15" s="2"/>
      <c r="K15" s="22"/>
      <c r="L15" s="22"/>
      <c r="M15" s="22"/>
    </row>
    <row r="16" spans="1:15" ht="42">
      <c r="A16" s="25" t="s">
        <v>389</v>
      </c>
      <c r="B16" s="67">
        <f t="shared" si="0"/>
        <v>8.6805555555555552E-2</v>
      </c>
      <c r="C16" s="52">
        <f>6+0.25</f>
        <v>6.25</v>
      </c>
      <c r="D16" s="2" t="s">
        <v>392</v>
      </c>
      <c r="E16" s="2" t="s">
        <v>309</v>
      </c>
      <c r="F16" s="2">
        <v>20</v>
      </c>
      <c r="G16" s="27" t="s">
        <v>536</v>
      </c>
      <c r="H16" s="2" t="s">
        <v>341</v>
      </c>
      <c r="I16" s="2" t="s">
        <v>395</v>
      </c>
      <c r="K16" s="22"/>
      <c r="L16" s="22"/>
      <c r="M16" s="22"/>
    </row>
    <row r="17" spans="1:13" ht="70">
      <c r="A17" s="2" t="s">
        <v>390</v>
      </c>
      <c r="B17" s="67">
        <f t="shared" si="0"/>
        <v>9.7222222222222224E-2</v>
      </c>
      <c r="C17" s="14">
        <v>7</v>
      </c>
      <c r="D17" s="2" t="s">
        <v>308</v>
      </c>
      <c r="E17" s="2" t="s">
        <v>309</v>
      </c>
      <c r="F17" s="2">
        <v>20</v>
      </c>
      <c r="G17" s="27" t="s">
        <v>535</v>
      </c>
      <c r="H17" s="27" t="s">
        <v>550</v>
      </c>
      <c r="I17" s="2"/>
      <c r="K17" s="22"/>
      <c r="L17" s="22"/>
      <c r="M17" s="22"/>
    </row>
    <row r="18" spans="1:13" ht="154">
      <c r="A18" s="2" t="s">
        <v>391</v>
      </c>
      <c r="B18" s="67">
        <f t="shared" si="0"/>
        <v>7.6388888888888895E-2</v>
      </c>
      <c r="C18" s="14">
        <f>5+0.5</f>
        <v>5.5</v>
      </c>
      <c r="D18" s="2" t="s">
        <v>310</v>
      </c>
      <c r="E18" s="2" t="s">
        <v>309</v>
      </c>
      <c r="F18" s="2">
        <v>20</v>
      </c>
      <c r="G18" s="27" t="s">
        <v>530</v>
      </c>
      <c r="H18" s="27" t="s">
        <v>551</v>
      </c>
      <c r="I18" s="2" t="s">
        <v>311</v>
      </c>
    </row>
    <row r="19" spans="1:13" ht="28">
      <c r="A19" s="3" t="s">
        <v>11</v>
      </c>
      <c r="B19" s="3" t="s">
        <v>14</v>
      </c>
      <c r="C19" s="15">
        <f>SUM(C2:C18)</f>
        <v>72</v>
      </c>
      <c r="D19" s="3"/>
      <c r="E19" s="3"/>
      <c r="F19" s="3"/>
      <c r="G19" s="3"/>
      <c r="H19" s="3"/>
      <c r="I19" s="3" t="s">
        <v>15</v>
      </c>
    </row>
    <row r="21" spans="1:13">
      <c r="A21" s="10" t="s">
        <v>16</v>
      </c>
    </row>
    <row r="22" spans="1:13" ht="12.75" customHeight="1">
      <c r="A22" s="166"/>
      <c r="B22" s="166"/>
      <c r="C22" s="166"/>
      <c r="D22" s="166"/>
      <c r="E22" s="166"/>
      <c r="F22" s="166"/>
      <c r="G22" s="166"/>
      <c r="H22" s="166"/>
      <c r="I22" s="166"/>
    </row>
    <row r="23" spans="1:13" ht="12.75" customHeight="1">
      <c r="A23" s="166"/>
      <c r="B23" s="166"/>
      <c r="C23" s="166"/>
      <c r="D23" s="166"/>
      <c r="E23" s="166"/>
      <c r="F23" s="166"/>
      <c r="G23" s="166"/>
      <c r="H23" s="166"/>
      <c r="I23" s="166"/>
    </row>
    <row r="24" spans="1:13" ht="12.75" customHeight="1">
      <c r="A24" s="166"/>
      <c r="B24" s="166"/>
      <c r="C24" s="166"/>
      <c r="D24" s="166"/>
      <c r="E24" s="166"/>
      <c r="F24" s="166"/>
      <c r="G24" s="166"/>
      <c r="H24" s="166"/>
      <c r="I24" s="166"/>
    </row>
    <row r="25" spans="1:13" ht="12.75" customHeight="1">
      <c r="A25" s="166"/>
      <c r="B25" s="166"/>
      <c r="C25" s="166"/>
      <c r="D25" s="166"/>
      <c r="E25" s="166"/>
      <c r="F25" s="166"/>
      <c r="G25" s="166"/>
      <c r="H25" s="166"/>
      <c r="I25" s="166"/>
    </row>
    <row r="27" spans="1:13">
      <c r="A27" s="62" t="s">
        <v>191</v>
      </c>
    </row>
    <row r="28" spans="1:13">
      <c r="A28" s="5" t="s">
        <v>192</v>
      </c>
    </row>
    <row r="29" spans="1:13">
      <c r="A29" s="5" t="s">
        <v>193</v>
      </c>
    </row>
    <row r="30" spans="1:13">
      <c r="A30" s="5" t="s">
        <v>194</v>
      </c>
    </row>
    <row r="31" spans="1:13">
      <c r="A31" s="5" t="s">
        <v>195</v>
      </c>
    </row>
    <row r="33" spans="1:1">
      <c r="A33" s="41" t="s">
        <v>196</v>
      </c>
    </row>
    <row r="34" spans="1:1">
      <c r="A34" s="23" t="s">
        <v>197</v>
      </c>
    </row>
    <row r="35" spans="1:1">
      <c r="A35" s="23" t="s">
        <v>198</v>
      </c>
    </row>
  </sheetData>
  <mergeCells count="4">
    <mergeCell ref="A25:I25"/>
    <mergeCell ref="A22:I22"/>
    <mergeCell ref="A23:I23"/>
    <mergeCell ref="A24:I2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169A3-29F5-4A1D-BD90-ADDF332A4AED}">
  <sheetPr>
    <tabColor rgb="FF00B050"/>
  </sheetPr>
  <dimension ref="A1:V20"/>
  <sheetViews>
    <sheetView zoomScale="63" zoomScaleNormal="60" workbookViewId="0">
      <selection activeCell="D19" sqref="D19"/>
    </sheetView>
  </sheetViews>
  <sheetFormatPr baseColWidth="10" defaultColWidth="10.6640625" defaultRowHeight="13"/>
  <cols>
    <col min="1" max="1" width="25.6640625" style="5" customWidth="1"/>
    <col min="2" max="3" width="12.6640625" style="5" customWidth="1"/>
    <col min="4" max="4" width="20.6640625" style="5" customWidth="1"/>
    <col min="5" max="6" width="12.6640625" style="5" customWidth="1"/>
    <col min="7" max="8" width="25.6640625" style="5" customWidth="1"/>
    <col min="9" max="9" width="40.6640625" style="5" customWidth="1"/>
    <col min="10" max="10" width="10.6640625" style="5"/>
    <col min="11" max="11" width="20.6640625" style="5" customWidth="1"/>
    <col min="12" max="14" width="10.6640625" style="5"/>
    <col min="15" max="15" width="13.6640625" style="5" bestFit="1" customWidth="1"/>
    <col min="16" max="16384" width="10.6640625" style="5"/>
  </cols>
  <sheetData>
    <row r="1" spans="1:22" s="4" customFormat="1" ht="60" customHeight="1">
      <c r="A1" s="129" t="s">
        <v>0</v>
      </c>
      <c r="B1" s="130" t="s">
        <v>1</v>
      </c>
      <c r="C1" s="130" t="s">
        <v>2</v>
      </c>
      <c r="D1" s="130" t="s">
        <v>3</v>
      </c>
      <c r="E1" s="130" t="s">
        <v>4</v>
      </c>
      <c r="F1" s="131" t="s">
        <v>166</v>
      </c>
      <c r="G1" s="130" t="s">
        <v>17</v>
      </c>
      <c r="H1" s="130" t="s">
        <v>18</v>
      </c>
      <c r="I1" s="130" t="s">
        <v>5</v>
      </c>
      <c r="J1" s="132"/>
      <c r="K1" s="129" t="s">
        <v>245</v>
      </c>
      <c r="L1" s="130" t="s">
        <v>7</v>
      </c>
      <c r="M1" s="130" t="s">
        <v>8</v>
      </c>
      <c r="N1" s="132"/>
      <c r="O1" s="133" t="s">
        <v>19</v>
      </c>
      <c r="P1" s="132"/>
      <c r="Q1" s="132"/>
      <c r="R1" s="132"/>
      <c r="S1" s="132"/>
      <c r="T1" s="132"/>
      <c r="U1" s="132"/>
      <c r="V1" s="132"/>
    </row>
    <row r="2" spans="1:22" ht="70">
      <c r="A2" s="99" t="s">
        <v>585</v>
      </c>
      <c r="B2" s="102">
        <v>0.15</v>
      </c>
      <c r="C2" s="101">
        <v>3.3</v>
      </c>
      <c r="D2" s="101"/>
      <c r="E2" s="101" t="s">
        <v>433</v>
      </c>
      <c r="F2" s="134">
        <v>0</v>
      </c>
      <c r="G2" s="135" t="s">
        <v>12</v>
      </c>
      <c r="H2" s="135" t="s">
        <v>246</v>
      </c>
      <c r="I2" s="135" t="s">
        <v>247</v>
      </c>
      <c r="J2" s="132"/>
      <c r="K2" s="136" t="s">
        <v>248</v>
      </c>
      <c r="L2" s="135">
        <v>22</v>
      </c>
      <c r="M2" s="135"/>
      <c r="N2" s="132"/>
      <c r="O2" s="137" t="s">
        <v>62</v>
      </c>
      <c r="P2" s="132"/>
      <c r="Q2" s="132"/>
      <c r="R2" s="132"/>
      <c r="S2" s="132"/>
      <c r="T2" s="132"/>
      <c r="U2" s="132"/>
      <c r="V2" s="132"/>
    </row>
    <row r="3" spans="1:22" ht="50" customHeight="1">
      <c r="A3" s="99" t="s">
        <v>586</v>
      </c>
      <c r="B3" s="102">
        <v>0.2</v>
      </c>
      <c r="C3" s="101">
        <v>4.4000000000000004</v>
      </c>
      <c r="D3" s="101" t="s">
        <v>12</v>
      </c>
      <c r="E3" s="101" t="s">
        <v>12</v>
      </c>
      <c r="F3" s="134">
        <v>0</v>
      </c>
      <c r="G3" s="135" t="s">
        <v>12</v>
      </c>
      <c r="H3" s="135" t="s">
        <v>249</v>
      </c>
      <c r="I3" s="135" t="s">
        <v>250</v>
      </c>
      <c r="J3" s="132"/>
      <c r="K3" s="136" t="s">
        <v>55</v>
      </c>
      <c r="L3" s="135">
        <v>10</v>
      </c>
      <c r="M3" s="135"/>
      <c r="N3" s="132"/>
      <c r="O3" s="132"/>
      <c r="P3" s="132"/>
      <c r="Q3" s="132"/>
      <c r="R3" s="132"/>
      <c r="S3" s="132"/>
      <c r="T3" s="132"/>
      <c r="U3" s="132"/>
      <c r="V3" s="132"/>
    </row>
    <row r="4" spans="1:22" ht="56">
      <c r="A4" s="99" t="s">
        <v>587</v>
      </c>
      <c r="B4" s="102">
        <v>0.2</v>
      </c>
      <c r="C4" s="101">
        <v>4.4000000000000004</v>
      </c>
      <c r="D4" s="101" t="s">
        <v>28</v>
      </c>
      <c r="E4" s="101" t="s">
        <v>12</v>
      </c>
      <c r="F4" s="134">
        <v>0</v>
      </c>
      <c r="G4" s="135" t="s">
        <v>12</v>
      </c>
      <c r="H4" s="135" t="s">
        <v>251</v>
      </c>
      <c r="I4" s="135" t="s">
        <v>247</v>
      </c>
      <c r="J4" s="132"/>
      <c r="K4" s="136" t="s">
        <v>252</v>
      </c>
      <c r="L4" s="135">
        <v>13</v>
      </c>
      <c r="M4" s="135"/>
      <c r="N4" s="132"/>
      <c r="O4" s="132"/>
      <c r="P4" s="132"/>
      <c r="Q4" s="132"/>
      <c r="R4" s="132"/>
      <c r="S4" s="132"/>
      <c r="T4" s="132"/>
      <c r="U4" s="132"/>
      <c r="V4" s="132"/>
    </row>
    <row r="5" spans="1:22" ht="140">
      <c r="A5" s="99" t="s">
        <v>588</v>
      </c>
      <c r="B5" s="102">
        <v>0.3</v>
      </c>
      <c r="C5" s="101">
        <v>6.6</v>
      </c>
      <c r="D5" s="101" t="s">
        <v>434</v>
      </c>
      <c r="E5" s="101" t="s">
        <v>20</v>
      </c>
      <c r="F5" s="134">
        <v>0</v>
      </c>
      <c r="G5" s="135" t="s">
        <v>12</v>
      </c>
      <c r="H5" s="135" t="s">
        <v>253</v>
      </c>
      <c r="I5" s="135" t="s">
        <v>254</v>
      </c>
      <c r="J5" s="132"/>
      <c r="K5" s="136" t="s">
        <v>54</v>
      </c>
      <c r="L5" s="135">
        <v>5</v>
      </c>
      <c r="M5" s="135"/>
      <c r="N5" s="132"/>
      <c r="O5" s="132"/>
      <c r="P5" s="132"/>
      <c r="Q5" s="132"/>
      <c r="R5" s="132"/>
      <c r="S5" s="132"/>
      <c r="T5" s="132"/>
      <c r="U5" s="132"/>
      <c r="V5" s="132"/>
    </row>
    <row r="6" spans="1:22" ht="50" customHeight="1">
      <c r="A6" s="99" t="s">
        <v>589</v>
      </c>
      <c r="B6" s="102">
        <v>0.15</v>
      </c>
      <c r="C6" s="101">
        <v>3.3</v>
      </c>
      <c r="D6" s="101" t="s">
        <v>28</v>
      </c>
      <c r="E6" s="101" t="s">
        <v>20</v>
      </c>
      <c r="F6" s="134">
        <v>0</v>
      </c>
      <c r="G6" s="135" t="s">
        <v>12</v>
      </c>
      <c r="H6" s="135" t="s">
        <v>255</v>
      </c>
      <c r="I6" s="135" t="s">
        <v>256</v>
      </c>
      <c r="J6" s="132"/>
      <c r="K6" s="136" t="s">
        <v>208</v>
      </c>
      <c r="L6" s="135">
        <v>12</v>
      </c>
      <c r="M6" s="135"/>
      <c r="N6" s="138"/>
      <c r="O6" s="132"/>
      <c r="P6" s="132"/>
      <c r="Q6" s="132"/>
      <c r="R6" s="132"/>
      <c r="S6" s="132"/>
      <c r="T6" s="132"/>
      <c r="U6" s="132"/>
      <c r="V6" s="132"/>
    </row>
    <row r="7" spans="1:22" ht="50" customHeight="1">
      <c r="A7" s="99" t="s">
        <v>590</v>
      </c>
      <c r="B7" s="102">
        <v>0.6</v>
      </c>
      <c r="C7" s="101">
        <v>3</v>
      </c>
      <c r="D7" s="101" t="s">
        <v>431</v>
      </c>
      <c r="E7" s="101" t="s">
        <v>20</v>
      </c>
      <c r="F7" s="102">
        <v>0</v>
      </c>
      <c r="G7" s="101" t="s">
        <v>12</v>
      </c>
      <c r="H7" s="101" t="s">
        <v>257</v>
      </c>
      <c r="I7" s="135" t="s">
        <v>247</v>
      </c>
      <c r="J7" s="132"/>
      <c r="K7" s="136" t="s">
        <v>258</v>
      </c>
      <c r="L7" s="135">
        <v>4</v>
      </c>
      <c r="M7" s="135"/>
      <c r="N7" s="138"/>
      <c r="O7" s="132"/>
      <c r="P7" s="132"/>
      <c r="Q7" s="132"/>
      <c r="R7" s="132"/>
      <c r="S7" s="132"/>
      <c r="T7" s="132"/>
      <c r="U7" s="132"/>
      <c r="V7" s="132"/>
    </row>
    <row r="8" spans="1:22" ht="50" customHeight="1">
      <c r="A8" s="139" t="s">
        <v>591</v>
      </c>
      <c r="B8" s="102">
        <v>0.1</v>
      </c>
      <c r="C8" s="101">
        <v>0.5</v>
      </c>
      <c r="D8" s="140" t="s">
        <v>220</v>
      </c>
      <c r="E8" s="140" t="s">
        <v>12</v>
      </c>
      <c r="F8" s="141">
        <v>0</v>
      </c>
      <c r="G8" s="140" t="s">
        <v>12</v>
      </c>
      <c r="H8" s="140" t="s">
        <v>259</v>
      </c>
      <c r="I8" s="135" t="s">
        <v>247</v>
      </c>
      <c r="J8" s="132"/>
      <c r="K8" s="142" t="s">
        <v>11</v>
      </c>
      <c r="L8" s="143">
        <f>SUM(L2:L7)</f>
        <v>66</v>
      </c>
      <c r="M8" s="143"/>
      <c r="N8" s="132"/>
      <c r="O8" s="132"/>
      <c r="P8" s="132"/>
      <c r="Q8" s="132"/>
      <c r="R8" s="132"/>
      <c r="S8" s="132"/>
      <c r="T8" s="132"/>
      <c r="U8" s="132"/>
      <c r="V8" s="132"/>
    </row>
    <row r="9" spans="1:22" ht="50" customHeight="1">
      <c r="A9" s="139" t="s">
        <v>592</v>
      </c>
      <c r="B9" s="102">
        <v>0.3</v>
      </c>
      <c r="C9" s="101">
        <v>1.5</v>
      </c>
      <c r="D9" s="140" t="s">
        <v>220</v>
      </c>
      <c r="E9" s="140" t="s">
        <v>12</v>
      </c>
      <c r="F9" s="141">
        <v>0</v>
      </c>
      <c r="G9" s="140" t="s">
        <v>12</v>
      </c>
      <c r="H9" s="140" t="s">
        <v>137</v>
      </c>
      <c r="I9" s="135" t="s">
        <v>247</v>
      </c>
      <c r="J9" s="132"/>
      <c r="K9" s="132"/>
      <c r="L9" s="132"/>
      <c r="M9" s="132"/>
      <c r="N9" s="132"/>
      <c r="O9" s="132"/>
      <c r="P9" s="132"/>
      <c r="Q9" s="132"/>
      <c r="R9" s="132"/>
      <c r="S9" s="132"/>
      <c r="T9" s="132"/>
      <c r="U9" s="132"/>
      <c r="V9" s="132"/>
    </row>
    <row r="10" spans="1:22" ht="50" customHeight="1">
      <c r="A10" s="99" t="s">
        <v>593</v>
      </c>
      <c r="B10" s="102">
        <v>1</v>
      </c>
      <c r="C10" s="101">
        <v>13</v>
      </c>
      <c r="D10" s="101" t="s">
        <v>260</v>
      </c>
      <c r="E10" s="101" t="s">
        <v>165</v>
      </c>
      <c r="F10" s="102">
        <v>0.4</v>
      </c>
      <c r="G10" s="101" t="s">
        <v>261</v>
      </c>
      <c r="H10" s="101" t="s">
        <v>262</v>
      </c>
      <c r="I10" s="135" t="s">
        <v>247</v>
      </c>
      <c r="J10" s="132"/>
      <c r="K10" s="132"/>
      <c r="L10" s="132"/>
      <c r="M10" s="132"/>
      <c r="N10" s="132"/>
      <c r="O10" s="132"/>
      <c r="P10" s="132"/>
      <c r="Q10" s="132"/>
      <c r="R10" s="132"/>
      <c r="S10" s="132"/>
      <c r="T10" s="132"/>
      <c r="U10" s="132"/>
      <c r="V10" s="132"/>
    </row>
    <row r="11" spans="1:22" ht="40.25" customHeight="1">
      <c r="A11" s="99" t="s">
        <v>570</v>
      </c>
      <c r="B11" s="102">
        <v>1</v>
      </c>
      <c r="C11" s="101">
        <v>10</v>
      </c>
      <c r="D11" s="101" t="s">
        <v>12</v>
      </c>
      <c r="E11" s="101" t="s">
        <v>165</v>
      </c>
      <c r="F11" s="102">
        <v>0</v>
      </c>
      <c r="G11" s="101" t="s">
        <v>263</v>
      </c>
      <c r="H11" s="101" t="s">
        <v>174</v>
      </c>
      <c r="I11" s="135" t="s">
        <v>247</v>
      </c>
      <c r="J11" s="132"/>
      <c r="K11" s="132"/>
      <c r="L11" s="132"/>
      <c r="M11" s="132"/>
      <c r="N11" s="132"/>
      <c r="O11" s="132"/>
      <c r="P11" s="132"/>
      <c r="Q11" s="132"/>
      <c r="R11" s="132"/>
      <c r="S11" s="132"/>
      <c r="T11" s="132"/>
      <c r="U11" s="132"/>
      <c r="V11" s="132"/>
    </row>
    <row r="12" spans="1:22" ht="40.25" customHeight="1">
      <c r="A12" s="99" t="s">
        <v>594</v>
      </c>
      <c r="B12" s="102">
        <v>0.9</v>
      </c>
      <c r="C12" s="101">
        <v>5.4</v>
      </c>
      <c r="D12" s="101" t="s">
        <v>264</v>
      </c>
      <c r="E12" s="101" t="s">
        <v>165</v>
      </c>
      <c r="F12" s="102">
        <v>0.3</v>
      </c>
      <c r="G12" s="101" t="s">
        <v>265</v>
      </c>
      <c r="H12" s="101" t="s">
        <v>266</v>
      </c>
      <c r="I12" s="101" t="s">
        <v>263</v>
      </c>
      <c r="J12" s="132"/>
      <c r="K12" s="132"/>
      <c r="L12" s="132"/>
      <c r="M12" s="132"/>
      <c r="N12" s="132"/>
      <c r="O12" s="132"/>
      <c r="P12" s="132"/>
      <c r="Q12" s="132"/>
      <c r="R12" s="132"/>
      <c r="S12" s="132"/>
      <c r="T12" s="132"/>
      <c r="U12" s="132"/>
      <c r="V12" s="132"/>
    </row>
    <row r="13" spans="1:22" ht="40.25" customHeight="1">
      <c r="A13" s="99" t="s">
        <v>595</v>
      </c>
      <c r="B13" s="102">
        <v>0.1</v>
      </c>
      <c r="C13" s="101">
        <v>0.6</v>
      </c>
      <c r="D13" s="101"/>
      <c r="E13" s="101" t="s">
        <v>267</v>
      </c>
      <c r="F13" s="102">
        <v>0</v>
      </c>
      <c r="G13" s="101" t="s">
        <v>12</v>
      </c>
      <c r="H13" s="144" t="s">
        <v>268</v>
      </c>
      <c r="I13" s="101" t="s">
        <v>263</v>
      </c>
      <c r="J13" s="132"/>
      <c r="K13" s="132"/>
      <c r="L13" s="132"/>
      <c r="M13" s="132"/>
      <c r="N13" s="138"/>
      <c r="O13" s="132"/>
      <c r="P13" s="132"/>
      <c r="Q13" s="132"/>
      <c r="R13" s="132"/>
      <c r="S13" s="132"/>
      <c r="T13" s="132"/>
      <c r="U13" s="132"/>
      <c r="V13" s="132"/>
    </row>
    <row r="14" spans="1:22">
      <c r="A14" s="139" t="s">
        <v>596</v>
      </c>
      <c r="B14" s="102">
        <v>0.3</v>
      </c>
      <c r="C14" s="101">
        <v>1.8</v>
      </c>
      <c r="D14" s="140" t="s">
        <v>12</v>
      </c>
      <c r="E14" s="140" t="s">
        <v>12</v>
      </c>
      <c r="F14" s="141">
        <v>0</v>
      </c>
      <c r="G14" s="140" t="s">
        <v>263</v>
      </c>
      <c r="H14" s="140" t="s">
        <v>269</v>
      </c>
      <c r="I14" s="140" t="s">
        <v>263</v>
      </c>
      <c r="J14" s="132"/>
      <c r="K14" s="132"/>
      <c r="L14" s="132"/>
      <c r="M14" s="132"/>
      <c r="N14" s="132"/>
      <c r="O14" s="132"/>
      <c r="P14" s="132"/>
      <c r="Q14" s="132"/>
      <c r="R14" s="132"/>
      <c r="S14" s="132"/>
      <c r="T14" s="132"/>
      <c r="U14" s="132"/>
      <c r="V14" s="132"/>
    </row>
    <row r="15" spans="1:22" ht="70">
      <c r="A15" s="139" t="s">
        <v>597</v>
      </c>
      <c r="B15" s="102">
        <v>0.7</v>
      </c>
      <c r="C15" s="101">
        <v>4.2</v>
      </c>
      <c r="D15" s="140" t="s">
        <v>12</v>
      </c>
      <c r="E15" s="140" t="s">
        <v>12</v>
      </c>
      <c r="F15" s="141">
        <v>0.3</v>
      </c>
      <c r="G15" s="140" t="s">
        <v>270</v>
      </c>
      <c r="H15" s="101" t="s">
        <v>271</v>
      </c>
      <c r="I15" s="101" t="s">
        <v>272</v>
      </c>
      <c r="J15" s="132"/>
      <c r="K15" s="132"/>
      <c r="L15" s="132"/>
      <c r="M15" s="132"/>
      <c r="N15" s="132"/>
      <c r="O15" s="132"/>
      <c r="P15" s="132"/>
      <c r="Q15" s="132"/>
      <c r="R15" s="132"/>
      <c r="S15" s="132"/>
      <c r="T15" s="132"/>
      <c r="U15" s="132"/>
      <c r="V15" s="132"/>
    </row>
    <row r="16" spans="1:22" ht="154">
      <c r="A16" s="99" t="s">
        <v>598</v>
      </c>
      <c r="B16" s="102">
        <v>0.7</v>
      </c>
      <c r="C16" s="140">
        <v>2.8</v>
      </c>
      <c r="D16" s="101" t="s">
        <v>273</v>
      </c>
      <c r="E16" s="140" t="s">
        <v>52</v>
      </c>
      <c r="F16" s="141">
        <v>0.25</v>
      </c>
      <c r="G16" s="101" t="s">
        <v>274</v>
      </c>
      <c r="H16" s="101" t="s">
        <v>275</v>
      </c>
      <c r="I16" s="140" t="s">
        <v>263</v>
      </c>
      <c r="J16" s="132"/>
      <c r="K16" s="132"/>
      <c r="L16" s="132"/>
      <c r="M16" s="132"/>
      <c r="N16" s="132"/>
      <c r="O16" s="132"/>
      <c r="P16" s="132"/>
      <c r="Q16" s="132"/>
      <c r="R16" s="132"/>
      <c r="S16" s="132"/>
      <c r="T16" s="132"/>
      <c r="U16" s="132"/>
      <c r="V16" s="132"/>
    </row>
    <row r="17" spans="1:22" ht="43">
      <c r="A17" s="145" t="s">
        <v>599</v>
      </c>
      <c r="B17" s="102">
        <v>0.3</v>
      </c>
      <c r="C17" s="140">
        <v>1.2</v>
      </c>
      <c r="D17" s="140" t="s">
        <v>12</v>
      </c>
      <c r="E17" s="140" t="s">
        <v>12</v>
      </c>
      <c r="F17" s="141">
        <v>0</v>
      </c>
      <c r="G17" s="146"/>
      <c r="H17" s="105" t="s">
        <v>555</v>
      </c>
      <c r="I17" s="101" t="s">
        <v>556</v>
      </c>
      <c r="J17" s="132"/>
      <c r="K17" s="132"/>
      <c r="L17" s="132"/>
      <c r="M17" s="132"/>
      <c r="N17" s="132"/>
      <c r="O17" s="132"/>
      <c r="P17" s="132"/>
      <c r="Q17" s="132"/>
      <c r="R17" s="132"/>
      <c r="S17" s="132"/>
      <c r="T17" s="132"/>
      <c r="U17" s="132"/>
      <c r="V17" s="132"/>
    </row>
    <row r="18" spans="1:22" ht="14">
      <c r="A18" s="99" t="s">
        <v>13</v>
      </c>
      <c r="B18" s="102">
        <v>1</v>
      </c>
      <c r="C18" s="140" t="s">
        <v>276</v>
      </c>
      <c r="D18" s="140" t="s">
        <v>12</v>
      </c>
      <c r="E18" s="140" t="s">
        <v>104</v>
      </c>
      <c r="F18" s="141">
        <v>0.6</v>
      </c>
      <c r="G18" s="147" t="s">
        <v>277</v>
      </c>
      <c r="H18" s="140" t="s">
        <v>263</v>
      </c>
      <c r="I18" s="140" t="s">
        <v>263</v>
      </c>
      <c r="J18" s="132"/>
      <c r="K18" s="132"/>
      <c r="L18" s="132"/>
      <c r="M18" s="132"/>
      <c r="N18" s="132"/>
      <c r="O18" s="132"/>
      <c r="P18" s="132"/>
      <c r="Q18" s="132"/>
      <c r="R18" s="132"/>
      <c r="S18" s="132"/>
      <c r="T18" s="132"/>
      <c r="U18" s="132"/>
      <c r="V18" s="132"/>
    </row>
    <row r="19" spans="1:22" ht="140">
      <c r="A19" s="99" t="s">
        <v>278</v>
      </c>
      <c r="B19" s="102">
        <v>1</v>
      </c>
      <c r="C19" s="140" t="s">
        <v>276</v>
      </c>
      <c r="D19" s="140" t="s">
        <v>279</v>
      </c>
      <c r="E19" s="140" t="s">
        <v>12</v>
      </c>
      <c r="F19" s="141">
        <v>0</v>
      </c>
      <c r="G19" s="140" t="s">
        <v>263</v>
      </c>
      <c r="H19" s="101" t="s">
        <v>280</v>
      </c>
      <c r="I19" s="140" t="s">
        <v>263</v>
      </c>
      <c r="J19" s="132"/>
      <c r="K19" s="132"/>
      <c r="L19" s="132"/>
      <c r="M19" s="132"/>
      <c r="N19" s="132"/>
      <c r="O19" s="132"/>
      <c r="P19" s="132"/>
      <c r="Q19" s="132"/>
      <c r="R19" s="132"/>
      <c r="S19" s="132"/>
      <c r="T19" s="132"/>
      <c r="U19" s="132"/>
      <c r="V19" s="132"/>
    </row>
    <row r="20" spans="1:22" ht="14">
      <c r="A20" s="142" t="s">
        <v>11</v>
      </c>
      <c r="B20" s="143" t="s">
        <v>14</v>
      </c>
      <c r="C20" s="143">
        <v>66</v>
      </c>
      <c r="D20" s="143" t="s">
        <v>263</v>
      </c>
      <c r="E20" s="143" t="s">
        <v>263</v>
      </c>
      <c r="F20" s="143" t="s">
        <v>263</v>
      </c>
      <c r="G20" s="143" t="s">
        <v>263</v>
      </c>
      <c r="H20" s="143" t="s">
        <v>263</v>
      </c>
      <c r="I20" s="143" t="s">
        <v>15</v>
      </c>
      <c r="J20" s="132"/>
      <c r="K20" s="132"/>
      <c r="L20" s="132"/>
      <c r="M20" s="132"/>
      <c r="N20" s="132"/>
      <c r="O20" s="132"/>
      <c r="P20" s="132"/>
      <c r="Q20" s="132"/>
      <c r="R20" s="132"/>
      <c r="S20" s="132"/>
      <c r="T20" s="132"/>
      <c r="U20" s="132"/>
      <c r="V20" s="132"/>
    </row>
  </sheetData>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57404-025A-440D-A4D9-F0017A83CE65}">
  <sheetPr>
    <tabColor rgb="FF00B050"/>
  </sheetPr>
  <dimension ref="A1:O22"/>
  <sheetViews>
    <sheetView zoomScale="70" zoomScaleNormal="70" workbookViewId="0"/>
  </sheetViews>
  <sheetFormatPr baseColWidth="10" defaultColWidth="10.6640625" defaultRowHeight="13"/>
  <cols>
    <col min="1" max="1" width="25.6640625" style="5" customWidth="1"/>
    <col min="2" max="3" width="12.6640625" style="5" customWidth="1"/>
    <col min="4" max="4" width="20.6640625" style="5" customWidth="1"/>
    <col min="5" max="6" width="12.6640625" style="5" customWidth="1"/>
    <col min="7" max="8" width="25.6640625" style="5" customWidth="1"/>
    <col min="9" max="9" width="40.6640625" style="5" customWidth="1"/>
    <col min="10" max="10" width="10.6640625" style="5"/>
    <col min="11" max="11" width="20.6640625" style="5" customWidth="1"/>
    <col min="12" max="16384" width="10.6640625" style="5"/>
  </cols>
  <sheetData>
    <row r="1" spans="1:15" s="4" customFormat="1" ht="55.75" customHeight="1">
      <c r="A1" s="1" t="s">
        <v>0</v>
      </c>
      <c r="B1" s="1" t="s">
        <v>1</v>
      </c>
      <c r="C1" s="1" t="s">
        <v>2</v>
      </c>
      <c r="D1" s="1" t="s">
        <v>3</v>
      </c>
      <c r="E1" s="1" t="s">
        <v>4</v>
      </c>
      <c r="F1" s="57" t="s">
        <v>166</v>
      </c>
      <c r="G1" s="1" t="s">
        <v>17</v>
      </c>
      <c r="H1" s="1" t="s">
        <v>18</v>
      </c>
      <c r="I1" s="1" t="s">
        <v>5</v>
      </c>
      <c r="K1" s="1" t="s">
        <v>6</v>
      </c>
      <c r="L1" s="1" t="s">
        <v>7</v>
      </c>
      <c r="M1" s="1" t="s">
        <v>8</v>
      </c>
      <c r="O1" s="1" t="s">
        <v>19</v>
      </c>
    </row>
    <row r="2" spans="1:15" ht="266">
      <c r="A2" s="19" t="s">
        <v>600</v>
      </c>
      <c r="B2" s="13">
        <v>1</v>
      </c>
      <c r="C2" s="14">
        <f>B2*L2</f>
        <v>2</v>
      </c>
      <c r="D2" s="2" t="s">
        <v>459</v>
      </c>
      <c r="E2" s="2" t="s">
        <v>460</v>
      </c>
      <c r="F2" s="61">
        <v>0.5</v>
      </c>
      <c r="G2" s="2" t="s">
        <v>461</v>
      </c>
      <c r="H2" s="2" t="s">
        <v>462</v>
      </c>
      <c r="I2" s="2"/>
      <c r="K2" s="17" t="s">
        <v>55</v>
      </c>
      <c r="L2" s="18">
        <v>2</v>
      </c>
      <c r="M2" s="18"/>
      <c r="O2" s="18" t="s">
        <v>63</v>
      </c>
    </row>
    <row r="3" spans="1:15" ht="266">
      <c r="A3" s="19" t="s">
        <v>601</v>
      </c>
      <c r="B3" s="13">
        <v>1</v>
      </c>
      <c r="C3" s="14">
        <f>B3*L3</f>
        <v>3</v>
      </c>
      <c r="D3" s="2" t="s">
        <v>459</v>
      </c>
      <c r="E3" s="2" t="s">
        <v>460</v>
      </c>
      <c r="F3" s="61">
        <v>0.7</v>
      </c>
      <c r="G3" s="2" t="s">
        <v>463</v>
      </c>
      <c r="H3" s="2" t="s">
        <v>464</v>
      </c>
      <c r="I3" s="2"/>
      <c r="K3" s="17" t="s">
        <v>465</v>
      </c>
      <c r="L3" s="18">
        <v>3</v>
      </c>
      <c r="M3" s="18"/>
    </row>
    <row r="4" spans="1:15" ht="154">
      <c r="A4" s="2" t="s">
        <v>466</v>
      </c>
      <c r="B4" s="13">
        <v>0.8</v>
      </c>
      <c r="C4" s="14">
        <f>B4*L4</f>
        <v>12.8</v>
      </c>
      <c r="D4" s="2"/>
      <c r="E4" s="2" t="s">
        <v>205</v>
      </c>
      <c r="F4" s="61">
        <v>0.5</v>
      </c>
      <c r="G4" s="2" t="s">
        <v>467</v>
      </c>
      <c r="H4" s="2" t="s">
        <v>468</v>
      </c>
      <c r="I4" s="2" t="s">
        <v>469</v>
      </c>
      <c r="K4" s="17" t="s">
        <v>470</v>
      </c>
      <c r="L4" s="18">
        <v>16</v>
      </c>
      <c r="M4" s="18"/>
    </row>
    <row r="5" spans="1:15" ht="182">
      <c r="A5" s="19" t="s">
        <v>573</v>
      </c>
      <c r="B5" s="13">
        <v>1</v>
      </c>
      <c r="C5" s="14">
        <f>B5*L5</f>
        <v>9</v>
      </c>
      <c r="D5" s="2"/>
      <c r="E5" s="2" t="s">
        <v>564</v>
      </c>
      <c r="F5" s="61">
        <v>0.75</v>
      </c>
      <c r="G5" s="2" t="s">
        <v>471</v>
      </c>
      <c r="H5" s="2" t="s">
        <v>472</v>
      </c>
      <c r="I5" s="2"/>
      <c r="K5" s="17" t="s">
        <v>473</v>
      </c>
      <c r="L5" s="18">
        <v>9</v>
      </c>
      <c r="M5" s="18"/>
    </row>
    <row r="6" spans="1:15" ht="84">
      <c r="A6" s="19" t="s">
        <v>474</v>
      </c>
      <c r="B6" s="13">
        <v>1</v>
      </c>
      <c r="C6" s="14">
        <f>B6*L6</f>
        <v>2</v>
      </c>
      <c r="D6" s="2" t="s">
        <v>475</v>
      </c>
      <c r="E6" s="2" t="s">
        <v>205</v>
      </c>
      <c r="F6" s="61">
        <v>0.75</v>
      </c>
      <c r="G6" s="2" t="s">
        <v>476</v>
      </c>
      <c r="H6" s="2" t="s">
        <v>477</v>
      </c>
      <c r="I6" s="2"/>
      <c r="K6" s="17" t="s">
        <v>478</v>
      </c>
      <c r="L6" s="18">
        <v>2</v>
      </c>
      <c r="M6" s="18"/>
      <c r="N6" s="11"/>
    </row>
    <row r="7" spans="1:15" ht="140">
      <c r="A7" s="2" t="s">
        <v>479</v>
      </c>
      <c r="B7" s="13">
        <v>0.2</v>
      </c>
      <c r="C7" s="14">
        <f>B7*L4</f>
        <v>3.2</v>
      </c>
      <c r="D7" s="18" t="s">
        <v>480</v>
      </c>
      <c r="E7" s="18" t="s">
        <v>52</v>
      </c>
      <c r="F7" s="61">
        <v>0.5</v>
      </c>
      <c r="G7" s="12" t="s">
        <v>481</v>
      </c>
      <c r="H7" s="2" t="s">
        <v>482</v>
      </c>
      <c r="I7" s="2"/>
      <c r="K7" s="17" t="s">
        <v>483</v>
      </c>
      <c r="L7" s="18">
        <v>17</v>
      </c>
      <c r="M7" s="18"/>
      <c r="N7" s="11"/>
    </row>
    <row r="8" spans="1:15" ht="120">
      <c r="A8" s="2" t="s">
        <v>484</v>
      </c>
      <c r="B8" s="13">
        <v>0.75</v>
      </c>
      <c r="C8" s="14">
        <f>B8*L8</f>
        <v>3.75</v>
      </c>
      <c r="D8" s="92" t="s">
        <v>485</v>
      </c>
      <c r="E8" s="2" t="s">
        <v>486</v>
      </c>
      <c r="F8" s="61">
        <v>0.75</v>
      </c>
      <c r="G8" s="91" t="s">
        <v>487</v>
      </c>
      <c r="H8" s="27" t="s">
        <v>488</v>
      </c>
      <c r="I8" s="2" t="s">
        <v>489</v>
      </c>
      <c r="K8" s="17" t="s">
        <v>490</v>
      </c>
      <c r="L8" s="18">
        <v>5</v>
      </c>
      <c r="M8" s="18"/>
      <c r="N8" s="11"/>
    </row>
    <row r="9" spans="1:15" ht="50" customHeight="1">
      <c r="A9" s="2" t="s">
        <v>491</v>
      </c>
      <c r="B9" s="13">
        <v>0.25</v>
      </c>
      <c r="C9" s="14">
        <f>B9*L8</f>
        <v>1.25</v>
      </c>
      <c r="D9" s="16" t="s">
        <v>492</v>
      </c>
      <c r="E9" s="2" t="s">
        <v>52</v>
      </c>
      <c r="F9" s="61">
        <v>0.5</v>
      </c>
      <c r="G9" s="91" t="s">
        <v>493</v>
      </c>
      <c r="H9" s="27" t="s">
        <v>494</v>
      </c>
      <c r="I9" s="2"/>
      <c r="K9" s="17" t="s">
        <v>495</v>
      </c>
      <c r="L9" s="18">
        <v>2</v>
      </c>
      <c r="M9" s="18"/>
      <c r="N9" s="11"/>
    </row>
    <row r="10" spans="1:15" ht="50" customHeight="1">
      <c r="A10" s="2" t="s">
        <v>496</v>
      </c>
      <c r="B10" s="13">
        <v>1</v>
      </c>
      <c r="C10" s="14">
        <f>B10*L9</f>
        <v>2</v>
      </c>
      <c r="D10" s="16"/>
      <c r="E10" s="2" t="s">
        <v>52</v>
      </c>
      <c r="F10" s="61">
        <v>0.1</v>
      </c>
      <c r="G10" s="72" t="s">
        <v>497</v>
      </c>
      <c r="H10" s="12"/>
      <c r="I10" s="2"/>
      <c r="K10" s="17" t="s">
        <v>498</v>
      </c>
      <c r="L10" s="18">
        <v>2</v>
      </c>
      <c r="M10" s="18"/>
      <c r="N10" s="11">
        <f>M10/L10</f>
        <v>0</v>
      </c>
    </row>
    <row r="11" spans="1:15" ht="140">
      <c r="A11" s="2" t="s">
        <v>499</v>
      </c>
      <c r="B11" s="13">
        <v>1</v>
      </c>
      <c r="C11" s="14">
        <f>B11*L13</f>
        <v>7</v>
      </c>
      <c r="D11" s="18"/>
      <c r="E11" s="2" t="s">
        <v>52</v>
      </c>
      <c r="F11" s="61">
        <v>0.2</v>
      </c>
      <c r="G11" s="12" t="s">
        <v>500</v>
      </c>
      <c r="H11" s="12" t="s">
        <v>501</v>
      </c>
      <c r="I11" s="2" t="s">
        <v>502</v>
      </c>
      <c r="K11" s="17" t="s">
        <v>495</v>
      </c>
      <c r="L11" s="18">
        <v>2</v>
      </c>
      <c r="M11" s="18"/>
    </row>
    <row r="12" spans="1:15" ht="84">
      <c r="A12" s="2" t="s">
        <v>602</v>
      </c>
      <c r="B12" s="13">
        <v>0.5</v>
      </c>
      <c r="C12" s="14">
        <f>B12*L10</f>
        <v>1</v>
      </c>
      <c r="D12" s="16" t="s">
        <v>503</v>
      </c>
      <c r="E12" s="2"/>
      <c r="F12" s="61">
        <v>0.15</v>
      </c>
      <c r="G12" s="12" t="s">
        <v>504</v>
      </c>
      <c r="H12" s="12" t="s">
        <v>505</v>
      </c>
      <c r="I12" s="2"/>
      <c r="K12" s="17" t="s">
        <v>506</v>
      </c>
      <c r="L12" s="18">
        <v>2</v>
      </c>
      <c r="M12" s="18"/>
    </row>
    <row r="13" spans="1:15" ht="42">
      <c r="A13" s="2" t="s">
        <v>603</v>
      </c>
      <c r="B13" s="13">
        <v>0.5</v>
      </c>
      <c r="C13" s="14">
        <f>B13*L10</f>
        <v>1</v>
      </c>
      <c r="E13" s="16" t="s">
        <v>507</v>
      </c>
      <c r="F13" s="61">
        <v>0.1</v>
      </c>
      <c r="G13" s="12" t="s">
        <v>508</v>
      </c>
      <c r="H13" s="12" t="s">
        <v>509</v>
      </c>
      <c r="I13" s="2"/>
      <c r="K13" s="17" t="s">
        <v>510</v>
      </c>
      <c r="L13" s="18">
        <v>7</v>
      </c>
      <c r="M13" s="18"/>
    </row>
    <row r="14" spans="1:15" ht="182">
      <c r="A14" s="2" t="s">
        <v>604</v>
      </c>
      <c r="B14" s="13">
        <v>1</v>
      </c>
      <c r="C14" s="14">
        <f>B14*L15</f>
        <v>4</v>
      </c>
      <c r="D14" s="18"/>
      <c r="E14" s="2" t="s">
        <v>205</v>
      </c>
      <c r="F14" s="61"/>
      <c r="G14" s="12" t="s">
        <v>511</v>
      </c>
      <c r="H14" s="12" t="s">
        <v>512</v>
      </c>
      <c r="I14" s="2"/>
      <c r="K14" s="17" t="s">
        <v>513</v>
      </c>
      <c r="L14" s="18">
        <v>2</v>
      </c>
      <c r="M14" s="18"/>
    </row>
    <row r="15" spans="1:15" ht="84">
      <c r="A15" s="2" t="s">
        <v>605</v>
      </c>
      <c r="B15" s="13">
        <v>1</v>
      </c>
      <c r="C15" s="14">
        <f>B15*L12</f>
        <v>2</v>
      </c>
      <c r="D15" s="18"/>
      <c r="E15" s="2" t="s">
        <v>205</v>
      </c>
      <c r="F15" s="61"/>
      <c r="G15" s="12" t="s">
        <v>514</v>
      </c>
      <c r="H15" s="12" t="s">
        <v>515</v>
      </c>
      <c r="I15" s="2"/>
      <c r="K15" s="17" t="s">
        <v>516</v>
      </c>
      <c r="L15" s="18">
        <v>4</v>
      </c>
      <c r="M15" s="18"/>
    </row>
    <row r="16" spans="1:15" ht="70">
      <c r="A16" s="2" t="s">
        <v>517</v>
      </c>
      <c r="B16" s="13">
        <v>0.9</v>
      </c>
      <c r="C16" s="14">
        <f>B16*L14</f>
        <v>1.8</v>
      </c>
      <c r="D16" s="18"/>
      <c r="E16" s="2" t="s">
        <v>205</v>
      </c>
      <c r="F16" s="61">
        <v>0.1</v>
      </c>
      <c r="G16" s="12" t="s">
        <v>518</v>
      </c>
      <c r="H16" s="24"/>
      <c r="I16" s="2"/>
      <c r="K16" s="148" t="s">
        <v>11</v>
      </c>
      <c r="L16" s="148">
        <f>SUM(L2:L15)</f>
        <v>75</v>
      </c>
      <c r="M16" s="148">
        <f>SUM(M2:M15)</f>
        <v>0</v>
      </c>
    </row>
    <row r="17" spans="1:13" ht="56">
      <c r="A17" s="2" t="s">
        <v>519</v>
      </c>
      <c r="B17" s="13">
        <v>0.1</v>
      </c>
      <c r="C17" s="14">
        <f>B17*L14</f>
        <v>0.2</v>
      </c>
      <c r="D17" s="18"/>
      <c r="E17" s="2" t="s">
        <v>205</v>
      </c>
      <c r="F17" s="61">
        <v>0</v>
      </c>
      <c r="G17" s="12" t="s">
        <v>518</v>
      </c>
      <c r="H17" s="12" t="s">
        <v>520</v>
      </c>
      <c r="K17" s="149"/>
      <c r="L17" s="149"/>
      <c r="M17" s="149"/>
    </row>
    <row r="18" spans="1:13" ht="42">
      <c r="A18" s="2" t="s">
        <v>521</v>
      </c>
      <c r="B18" s="13">
        <v>0.5</v>
      </c>
      <c r="C18" s="14">
        <f>B18*L7</f>
        <v>8.5</v>
      </c>
      <c r="D18" s="18" t="s">
        <v>565</v>
      </c>
      <c r="E18" s="2" t="s">
        <v>52</v>
      </c>
      <c r="F18" s="61">
        <v>0.5</v>
      </c>
      <c r="G18" s="12" t="s">
        <v>522</v>
      </c>
      <c r="H18" s="12" t="s">
        <v>523</v>
      </c>
      <c r="I18" s="2"/>
    </row>
    <row r="19" spans="1:13" ht="42">
      <c r="A19" s="2" t="s">
        <v>524</v>
      </c>
      <c r="B19" s="13">
        <v>0.5</v>
      </c>
      <c r="C19" s="14">
        <f>B19*L7</f>
        <v>8.5</v>
      </c>
      <c r="D19" s="18"/>
      <c r="E19" s="2" t="s">
        <v>205</v>
      </c>
      <c r="F19" s="61">
        <v>0.5</v>
      </c>
      <c r="G19" s="12" t="s">
        <v>525</v>
      </c>
      <c r="H19" s="12" t="s">
        <v>526</v>
      </c>
      <c r="I19" s="2"/>
    </row>
    <row r="20" spans="1:13">
      <c r="A20" s="2"/>
      <c r="B20" s="13"/>
      <c r="C20" s="14"/>
      <c r="D20" s="18"/>
      <c r="E20" s="2"/>
      <c r="F20" s="61"/>
      <c r="G20" s="24"/>
      <c r="H20" s="24"/>
      <c r="I20" s="2"/>
    </row>
    <row r="21" spans="1:13">
      <c r="A21" s="2"/>
      <c r="B21" s="13"/>
      <c r="C21" s="14"/>
      <c r="D21" s="18"/>
      <c r="E21" s="2"/>
      <c r="F21" s="61"/>
      <c r="G21" s="24"/>
      <c r="H21" s="24"/>
      <c r="I21" s="2"/>
    </row>
    <row r="22" spans="1:13" ht="14">
      <c r="A22" s="3" t="s">
        <v>11</v>
      </c>
      <c r="B22" s="3" t="s">
        <v>14</v>
      </c>
      <c r="C22" s="15">
        <f>SUM(C2:C21)</f>
        <v>73</v>
      </c>
      <c r="D22" s="3"/>
      <c r="E22" s="3"/>
      <c r="F22" s="3"/>
      <c r="G22" s="3"/>
      <c r="H22" s="3"/>
      <c r="I22" s="3" t="s">
        <v>15</v>
      </c>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0C4AB-ABAC-4D9E-B52D-9C469D510F33}">
  <sheetPr>
    <tabColor rgb="FF00B050"/>
  </sheetPr>
  <dimension ref="A1:O17"/>
  <sheetViews>
    <sheetView zoomScale="63" zoomScaleNormal="70" workbookViewId="0">
      <selection activeCell="D5" sqref="D5"/>
    </sheetView>
  </sheetViews>
  <sheetFormatPr baseColWidth="10" defaultColWidth="10.6640625" defaultRowHeight="13"/>
  <cols>
    <col min="1" max="1" width="25.6640625" style="5" customWidth="1"/>
    <col min="2" max="3" width="12.6640625" style="5" customWidth="1"/>
    <col min="4" max="4" width="20.6640625" style="5" customWidth="1"/>
    <col min="5" max="6" width="12.6640625" style="5" customWidth="1"/>
    <col min="7" max="8" width="25.6640625" style="5" customWidth="1"/>
    <col min="9" max="9" width="40.6640625" style="5" customWidth="1"/>
    <col min="10" max="10" width="10.6640625" style="5"/>
    <col min="11" max="11" width="20.6640625" style="5" customWidth="1"/>
    <col min="12" max="16384" width="10.6640625" style="5"/>
  </cols>
  <sheetData>
    <row r="1" spans="1:15" s="4" customFormat="1" ht="54.5" customHeight="1">
      <c r="A1" s="1" t="s">
        <v>0</v>
      </c>
      <c r="B1" s="1" t="s">
        <v>1</v>
      </c>
      <c r="C1" s="1" t="s">
        <v>2</v>
      </c>
      <c r="D1" s="1" t="s">
        <v>3</v>
      </c>
      <c r="E1" s="1" t="s">
        <v>4</v>
      </c>
      <c r="F1" s="57" t="s">
        <v>166</v>
      </c>
      <c r="G1" s="1" t="s">
        <v>17</v>
      </c>
      <c r="H1" s="1" t="s">
        <v>18</v>
      </c>
      <c r="I1" s="1" t="s">
        <v>5</v>
      </c>
      <c r="K1" s="1" t="s">
        <v>6</v>
      </c>
      <c r="L1" s="1" t="s">
        <v>7</v>
      </c>
      <c r="M1" s="1" t="s">
        <v>8</v>
      </c>
      <c r="O1" s="1" t="s">
        <v>19</v>
      </c>
    </row>
    <row r="2" spans="1:15" ht="50" customHeight="1">
      <c r="A2" s="2" t="s">
        <v>290</v>
      </c>
      <c r="B2" s="13">
        <v>0.1</v>
      </c>
      <c r="C2" s="14">
        <f>B2*37</f>
        <v>3.7</v>
      </c>
      <c r="D2" s="48" t="s">
        <v>288</v>
      </c>
      <c r="E2" s="2" t="s">
        <v>10</v>
      </c>
      <c r="F2" s="63">
        <v>0.4</v>
      </c>
      <c r="G2" s="2" t="s">
        <v>295</v>
      </c>
      <c r="H2" s="71"/>
      <c r="I2" s="71" t="s">
        <v>337</v>
      </c>
      <c r="K2" s="17" t="s">
        <v>281</v>
      </c>
      <c r="L2" s="18">
        <v>14</v>
      </c>
      <c r="M2" s="18">
        <v>14</v>
      </c>
      <c r="O2" s="18" t="s">
        <v>64</v>
      </c>
    </row>
    <row r="3" spans="1:15" ht="174" customHeight="1">
      <c r="A3" s="2" t="s">
        <v>291</v>
      </c>
      <c r="B3" s="13">
        <v>0.4</v>
      </c>
      <c r="C3" s="14">
        <f t="shared" ref="C3:C9" si="0">B3*37</f>
        <v>14.8</v>
      </c>
      <c r="D3" s="48" t="s">
        <v>313</v>
      </c>
      <c r="E3" s="2"/>
      <c r="F3" s="63">
        <v>0.1</v>
      </c>
      <c r="G3" s="2" t="s">
        <v>292</v>
      </c>
      <c r="H3" s="71" t="s">
        <v>304</v>
      </c>
      <c r="I3" s="71" t="s">
        <v>339</v>
      </c>
      <c r="K3" s="17" t="s">
        <v>285</v>
      </c>
      <c r="L3" s="18">
        <v>4</v>
      </c>
      <c r="M3" s="18">
        <v>4</v>
      </c>
    </row>
    <row r="4" spans="1:15" ht="68.25" customHeight="1">
      <c r="A4" s="2" t="s">
        <v>289</v>
      </c>
      <c r="B4" s="13">
        <v>0.2</v>
      </c>
      <c r="C4" s="14">
        <f t="shared" si="0"/>
        <v>7.4</v>
      </c>
      <c r="D4" s="48" t="s">
        <v>313</v>
      </c>
      <c r="E4" s="2"/>
      <c r="F4" s="63">
        <v>0.05</v>
      </c>
      <c r="G4" s="2" t="s">
        <v>293</v>
      </c>
      <c r="H4" s="150" t="s">
        <v>334</v>
      </c>
      <c r="I4" s="71" t="s">
        <v>338</v>
      </c>
      <c r="K4" s="17" t="s">
        <v>282</v>
      </c>
      <c r="L4" s="18">
        <v>3</v>
      </c>
      <c r="M4" s="18">
        <v>3</v>
      </c>
    </row>
    <row r="5" spans="1:15" ht="73.5" customHeight="1">
      <c r="A5" s="2" t="s">
        <v>38</v>
      </c>
      <c r="B5" s="13">
        <v>0.1</v>
      </c>
      <c r="C5" s="14">
        <f t="shared" si="0"/>
        <v>3.7</v>
      </c>
      <c r="D5" s="48" t="s">
        <v>335</v>
      </c>
      <c r="E5" s="2" t="s">
        <v>10</v>
      </c>
      <c r="F5" s="63">
        <v>0.05</v>
      </c>
      <c r="G5" s="2" t="s">
        <v>299</v>
      </c>
      <c r="H5" s="71" t="s">
        <v>336</v>
      </c>
      <c r="I5" s="71"/>
      <c r="K5" s="17" t="s">
        <v>283</v>
      </c>
      <c r="L5" s="18">
        <v>2</v>
      </c>
      <c r="M5" s="18">
        <v>2</v>
      </c>
    </row>
    <row r="6" spans="1:15" ht="50" customHeight="1">
      <c r="A6" s="2" t="s">
        <v>13</v>
      </c>
      <c r="B6" s="13">
        <v>0.05</v>
      </c>
      <c r="C6" s="14">
        <f t="shared" si="0"/>
        <v>1.85</v>
      </c>
      <c r="D6" s="48"/>
      <c r="E6" s="2" t="s">
        <v>10</v>
      </c>
      <c r="F6" s="63">
        <v>0.1</v>
      </c>
      <c r="G6" s="2" t="s">
        <v>300</v>
      </c>
      <c r="H6" s="71"/>
      <c r="I6" s="71"/>
      <c r="K6" s="17" t="s">
        <v>284</v>
      </c>
      <c r="L6" s="18">
        <v>2</v>
      </c>
      <c r="M6" s="18">
        <v>2</v>
      </c>
      <c r="N6" s="11"/>
    </row>
    <row r="7" spans="1:15" ht="50" customHeight="1">
      <c r="A7" s="2" t="s">
        <v>302</v>
      </c>
      <c r="B7" s="13">
        <v>0.1</v>
      </c>
      <c r="C7" s="14">
        <f t="shared" si="0"/>
        <v>3.7</v>
      </c>
      <c r="D7" s="47" t="s">
        <v>314</v>
      </c>
      <c r="E7" s="2" t="s">
        <v>10</v>
      </c>
      <c r="F7" s="63">
        <v>0.2</v>
      </c>
      <c r="G7" s="27" t="s">
        <v>301</v>
      </c>
      <c r="H7" s="71" t="s">
        <v>303</v>
      </c>
      <c r="I7" s="71"/>
      <c r="K7" s="17" t="s">
        <v>83</v>
      </c>
      <c r="L7" s="18">
        <v>3</v>
      </c>
      <c r="M7" s="18">
        <v>3</v>
      </c>
      <c r="N7" s="11"/>
    </row>
    <row r="8" spans="1:15" ht="50" customHeight="1">
      <c r="A8" s="2" t="s">
        <v>294</v>
      </c>
      <c r="B8" s="13">
        <v>0.02</v>
      </c>
      <c r="C8" s="14">
        <f t="shared" si="0"/>
        <v>0.74</v>
      </c>
      <c r="D8" s="47"/>
      <c r="E8" s="2" t="s">
        <v>10</v>
      </c>
      <c r="F8" s="63">
        <v>0.05</v>
      </c>
      <c r="G8" s="2" t="s">
        <v>298</v>
      </c>
      <c r="H8" s="71"/>
      <c r="I8" s="71"/>
      <c r="K8" s="17" t="s">
        <v>286</v>
      </c>
      <c r="L8" s="18">
        <v>3</v>
      </c>
      <c r="M8" s="18">
        <v>3</v>
      </c>
      <c r="N8" s="11"/>
    </row>
    <row r="9" spans="1:15" ht="61.5" customHeight="1">
      <c r="A9" s="2" t="s">
        <v>296</v>
      </c>
      <c r="B9" s="13">
        <v>0.05</v>
      </c>
      <c r="C9" s="14">
        <f t="shared" si="0"/>
        <v>1.85</v>
      </c>
      <c r="D9" s="66" t="s">
        <v>312</v>
      </c>
      <c r="E9" s="2"/>
      <c r="F9" s="63">
        <v>0.05</v>
      </c>
      <c r="G9" s="27" t="s">
        <v>297</v>
      </c>
      <c r="H9" s="72" t="s">
        <v>305</v>
      </c>
      <c r="I9" s="71"/>
      <c r="K9" s="17" t="s">
        <v>287</v>
      </c>
      <c r="L9" s="18">
        <v>6</v>
      </c>
      <c r="M9" s="18">
        <v>6</v>
      </c>
      <c r="N9" s="11"/>
    </row>
    <row r="10" spans="1:15" ht="50" customHeight="1">
      <c r="A10" s="2"/>
      <c r="B10" s="13"/>
      <c r="C10" s="14"/>
      <c r="D10" s="16"/>
      <c r="E10" s="2"/>
      <c r="F10" s="2"/>
      <c r="G10" s="12"/>
      <c r="H10" s="12"/>
      <c r="I10" s="71"/>
      <c r="K10" s="3" t="s">
        <v>11</v>
      </c>
      <c r="L10" s="3">
        <f>SUM(L2:L9)</f>
        <v>37</v>
      </c>
      <c r="M10" s="3">
        <f>SUM(M2:M9)</f>
        <v>37</v>
      </c>
      <c r="N10" s="11">
        <f>M10/L10</f>
        <v>1</v>
      </c>
    </row>
    <row r="11" spans="1:15" ht="40.25" customHeight="1">
      <c r="A11" s="3" t="s">
        <v>11</v>
      </c>
      <c r="B11" s="3" t="s">
        <v>14</v>
      </c>
      <c r="C11" s="15">
        <f>SUM(C2:C10)</f>
        <v>37.74</v>
      </c>
      <c r="D11" s="3"/>
      <c r="E11" s="3"/>
      <c r="F11" s="3"/>
      <c r="G11" s="3"/>
      <c r="H11" s="3"/>
      <c r="I11" s="3" t="s">
        <v>15</v>
      </c>
    </row>
    <row r="12" spans="1:15" ht="40.25" customHeight="1"/>
    <row r="13" spans="1:15" ht="40.25" customHeight="1">
      <c r="A13" s="10" t="s">
        <v>16</v>
      </c>
    </row>
    <row r="14" spans="1:15">
      <c r="A14" s="168" t="s">
        <v>307</v>
      </c>
      <c r="B14" s="168"/>
      <c r="C14" s="168"/>
      <c r="D14" s="168"/>
      <c r="E14" s="168"/>
      <c r="F14" s="168"/>
      <c r="G14" s="168"/>
      <c r="H14" s="168"/>
      <c r="I14" s="168"/>
    </row>
    <row r="15" spans="1:15">
      <c r="A15" s="168"/>
      <c r="B15" s="168"/>
      <c r="C15" s="168"/>
      <c r="D15" s="168"/>
      <c r="E15" s="168"/>
      <c r="F15" s="168"/>
      <c r="G15" s="168"/>
      <c r="H15" s="168"/>
      <c r="I15" s="168"/>
    </row>
    <row r="16" spans="1:15">
      <c r="A16" s="168"/>
      <c r="B16" s="168"/>
      <c r="C16" s="168"/>
      <c r="D16" s="168"/>
      <c r="E16" s="168"/>
      <c r="F16" s="168"/>
      <c r="G16" s="168"/>
      <c r="H16" s="168"/>
      <c r="I16" s="168"/>
    </row>
    <row r="17" spans="1:9">
      <c r="A17" s="168"/>
      <c r="B17" s="168"/>
      <c r="C17" s="168"/>
      <c r="D17" s="168"/>
      <c r="E17" s="168"/>
      <c r="F17" s="168"/>
      <c r="G17" s="168"/>
      <c r="H17" s="168"/>
      <c r="I17" s="168"/>
    </row>
  </sheetData>
  <mergeCells count="4">
    <mergeCell ref="A14:I14"/>
    <mergeCell ref="A15:I15"/>
    <mergeCell ref="A16:I16"/>
    <mergeCell ref="A17:I1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089B6-23DE-4418-B8C6-B400183BCEDC}">
  <sheetPr>
    <tabColor rgb="FF00B050"/>
  </sheetPr>
  <dimension ref="A1:O21"/>
  <sheetViews>
    <sheetView zoomScale="55" zoomScaleNormal="70" workbookViewId="0">
      <selection activeCell="C4" sqref="C4"/>
    </sheetView>
  </sheetViews>
  <sheetFormatPr baseColWidth="10" defaultColWidth="10.6640625" defaultRowHeight="13"/>
  <cols>
    <col min="1" max="1" width="41.6640625" style="5" customWidth="1"/>
    <col min="2" max="3" width="12.6640625" style="5" customWidth="1"/>
    <col min="4" max="4" width="36.33203125" style="5" customWidth="1"/>
    <col min="5" max="6" width="12.6640625" style="5" customWidth="1"/>
    <col min="7" max="7" width="54.1640625" style="5" customWidth="1"/>
    <col min="8" max="8" width="25.6640625" style="5" customWidth="1"/>
    <col min="9" max="9" width="40.6640625" style="5" customWidth="1"/>
    <col min="10" max="10" width="10.6640625" style="5"/>
    <col min="11" max="11" width="20.6640625" style="5" customWidth="1"/>
    <col min="12" max="16384" width="10.6640625" style="5"/>
  </cols>
  <sheetData>
    <row r="1" spans="1:15" s="4" customFormat="1" ht="61.25" customHeight="1">
      <c r="A1" s="1" t="s">
        <v>0</v>
      </c>
      <c r="B1" s="1" t="s">
        <v>1</v>
      </c>
      <c r="C1" s="1" t="s">
        <v>2</v>
      </c>
      <c r="D1" s="1" t="s">
        <v>3</v>
      </c>
      <c r="E1" s="1" t="s">
        <v>4</v>
      </c>
      <c r="F1" s="57" t="s">
        <v>166</v>
      </c>
      <c r="G1" s="1" t="s">
        <v>17</v>
      </c>
      <c r="H1" s="1" t="s">
        <v>18</v>
      </c>
      <c r="I1" s="1" t="s">
        <v>5</v>
      </c>
      <c r="K1" s="83" t="s">
        <v>6</v>
      </c>
      <c r="L1" s="83" t="s">
        <v>7</v>
      </c>
      <c r="M1" s="83" t="s">
        <v>8</v>
      </c>
      <c r="O1" s="8" t="s">
        <v>19</v>
      </c>
    </row>
    <row r="2" spans="1:15" ht="50" customHeight="1">
      <c r="A2" s="40" t="s">
        <v>65</v>
      </c>
      <c r="B2" s="13">
        <v>0.9</v>
      </c>
      <c r="C2" s="14">
        <v>14</v>
      </c>
      <c r="D2" s="2" t="s">
        <v>424</v>
      </c>
      <c r="E2" s="2" t="s">
        <v>425</v>
      </c>
      <c r="F2" s="2"/>
      <c r="G2" s="2" t="s">
        <v>67</v>
      </c>
      <c r="H2" s="2" t="s">
        <v>68</v>
      </c>
      <c r="I2" s="2" t="s">
        <v>69</v>
      </c>
      <c r="K2" s="6"/>
      <c r="L2" s="7"/>
      <c r="M2" s="7"/>
      <c r="O2" s="7" t="s">
        <v>70</v>
      </c>
    </row>
    <row r="3" spans="1:15" ht="50" customHeight="1">
      <c r="A3" s="40" t="s">
        <v>239</v>
      </c>
      <c r="B3" s="13">
        <v>0.75</v>
      </c>
      <c r="C3" s="14">
        <v>3.5</v>
      </c>
      <c r="D3" s="2"/>
      <c r="E3" s="2" t="s">
        <v>426</v>
      </c>
      <c r="F3" s="2"/>
      <c r="G3" s="2" t="s">
        <v>71</v>
      </c>
      <c r="H3" s="2"/>
      <c r="I3" s="2" t="s">
        <v>72</v>
      </c>
      <c r="K3" s="6"/>
      <c r="L3" s="7"/>
      <c r="M3" s="7"/>
    </row>
    <row r="4" spans="1:15" ht="87" customHeight="1">
      <c r="A4" s="40" t="s">
        <v>240</v>
      </c>
      <c r="B4" s="13">
        <v>0.9</v>
      </c>
      <c r="C4" s="14">
        <v>8</v>
      </c>
      <c r="D4" s="2" t="s">
        <v>241</v>
      </c>
      <c r="E4" s="2" t="s">
        <v>12</v>
      </c>
      <c r="F4" s="2"/>
      <c r="G4" s="2" t="s">
        <v>242</v>
      </c>
      <c r="H4" s="2"/>
      <c r="I4" s="2" t="s">
        <v>73</v>
      </c>
      <c r="K4" s="6"/>
      <c r="L4" s="7"/>
      <c r="M4" s="7"/>
    </row>
    <row r="5" spans="1:15" ht="50" customHeight="1">
      <c r="A5" s="40" t="s">
        <v>74</v>
      </c>
      <c r="B5" s="13">
        <v>0.9</v>
      </c>
      <c r="C5" s="14">
        <v>8</v>
      </c>
      <c r="D5" s="2" t="s">
        <v>428</v>
      </c>
      <c r="E5" s="2" t="s">
        <v>427</v>
      </c>
      <c r="F5" s="2"/>
      <c r="G5" s="2" t="s">
        <v>237</v>
      </c>
      <c r="H5" s="2" t="s">
        <v>75</v>
      </c>
      <c r="I5" s="2"/>
      <c r="K5" s="6"/>
      <c r="L5" s="7"/>
      <c r="M5" s="7"/>
    </row>
    <row r="6" spans="1:15" ht="50" customHeight="1">
      <c r="A6" s="40" t="s">
        <v>238</v>
      </c>
      <c r="B6" s="13">
        <v>0.9</v>
      </c>
      <c r="C6" s="14">
        <v>8</v>
      </c>
      <c r="D6" s="2" t="s">
        <v>429</v>
      </c>
      <c r="E6" s="2" t="s">
        <v>34</v>
      </c>
      <c r="F6" s="2"/>
      <c r="G6" s="2" t="s">
        <v>76</v>
      </c>
      <c r="H6" s="2"/>
      <c r="I6" s="2"/>
      <c r="K6" s="6"/>
      <c r="L6" s="7"/>
      <c r="M6" s="7"/>
      <c r="N6" s="11"/>
    </row>
    <row r="7" spans="1:15" ht="56">
      <c r="A7" s="40" t="s">
        <v>77</v>
      </c>
      <c r="B7" s="13">
        <v>0.7</v>
      </c>
      <c r="C7" s="14">
        <v>8</v>
      </c>
      <c r="D7" s="2" t="s">
        <v>78</v>
      </c>
      <c r="E7" s="2" t="s">
        <v>66</v>
      </c>
      <c r="F7" s="2"/>
      <c r="G7" s="27" t="s">
        <v>243</v>
      </c>
      <c r="H7" s="2" t="s">
        <v>68</v>
      </c>
      <c r="I7" s="2"/>
      <c r="K7" s="6"/>
      <c r="L7" s="7"/>
      <c r="M7" s="7"/>
      <c r="N7" s="11"/>
    </row>
    <row r="8" spans="1:15" ht="50" customHeight="1">
      <c r="A8" s="40" t="s">
        <v>244</v>
      </c>
      <c r="B8" s="13">
        <v>0.3</v>
      </c>
      <c r="C8" s="14">
        <v>5</v>
      </c>
      <c r="D8" s="2" t="s">
        <v>430</v>
      </c>
      <c r="E8" s="2" t="s">
        <v>34</v>
      </c>
      <c r="F8" s="2"/>
      <c r="G8" s="2"/>
      <c r="H8" s="2"/>
      <c r="I8" s="2"/>
      <c r="K8" s="6"/>
      <c r="L8" s="7"/>
      <c r="M8" s="7"/>
      <c r="N8" s="11"/>
    </row>
    <row r="9" spans="1:15" ht="50" customHeight="1">
      <c r="A9" s="2" t="s">
        <v>39</v>
      </c>
      <c r="B9" s="13">
        <v>0.3</v>
      </c>
      <c r="C9" s="14">
        <v>7.5</v>
      </c>
      <c r="D9" s="2" t="s">
        <v>431</v>
      </c>
      <c r="E9" s="2" t="s">
        <v>34</v>
      </c>
      <c r="F9" s="2"/>
      <c r="G9" s="12"/>
      <c r="H9" s="12"/>
      <c r="I9" s="2"/>
      <c r="K9" s="6"/>
      <c r="L9" s="7"/>
      <c r="M9" s="7"/>
      <c r="N9" s="11"/>
    </row>
    <row r="10" spans="1:15" ht="50" customHeight="1">
      <c r="A10" s="2" t="s">
        <v>42</v>
      </c>
      <c r="B10" s="13">
        <v>0.9</v>
      </c>
      <c r="C10" s="14">
        <v>14</v>
      </c>
      <c r="D10" s="2" t="s">
        <v>43</v>
      </c>
      <c r="E10" s="2" t="s">
        <v>21</v>
      </c>
      <c r="F10" s="2"/>
      <c r="G10" s="12"/>
      <c r="H10" s="12"/>
      <c r="I10" s="2"/>
      <c r="K10" s="6"/>
      <c r="L10" s="7"/>
      <c r="M10" s="7"/>
      <c r="N10" s="11"/>
    </row>
    <row r="11" spans="1:15" ht="50" customHeight="1">
      <c r="A11" s="19" t="s">
        <v>44</v>
      </c>
      <c r="B11" s="13">
        <v>1</v>
      </c>
      <c r="C11" s="14">
        <v>24</v>
      </c>
      <c r="D11" s="2" t="s">
        <v>288</v>
      </c>
      <c r="E11" s="2" t="s">
        <v>432</v>
      </c>
      <c r="F11" s="2"/>
      <c r="G11" s="12"/>
      <c r="H11" s="12"/>
      <c r="I11" s="2"/>
      <c r="K11" s="6"/>
      <c r="L11" s="7"/>
      <c r="M11" s="7"/>
      <c r="N11" s="11"/>
    </row>
    <row r="12" spans="1:15" ht="50" customHeight="1">
      <c r="A12" s="2"/>
      <c r="B12" s="13"/>
      <c r="C12" s="14"/>
      <c r="D12" s="18"/>
      <c r="E12" s="2"/>
      <c r="F12" s="2"/>
      <c r="G12" s="12"/>
      <c r="H12" s="12"/>
      <c r="I12" s="2"/>
      <c r="K12" s="6"/>
      <c r="L12" s="7"/>
      <c r="M12" s="7"/>
      <c r="N12" s="11"/>
    </row>
    <row r="13" spans="1:15" ht="50" customHeight="1">
      <c r="A13" s="2"/>
      <c r="B13" s="13"/>
      <c r="C13" s="14"/>
      <c r="D13" s="18"/>
      <c r="E13" s="2"/>
      <c r="F13" s="2"/>
      <c r="G13" s="12"/>
      <c r="H13" s="12"/>
      <c r="I13" s="2"/>
      <c r="K13" s="6"/>
      <c r="L13" s="7"/>
      <c r="M13" s="7"/>
      <c r="N13" s="11"/>
    </row>
    <row r="14" spans="1:15" ht="50" customHeight="1">
      <c r="A14" s="2"/>
      <c r="B14" s="13"/>
      <c r="C14" s="14"/>
      <c r="D14" s="18"/>
      <c r="E14" s="2"/>
      <c r="F14" s="2"/>
      <c r="G14" s="12"/>
      <c r="H14" s="12"/>
      <c r="I14" s="2"/>
      <c r="K14" s="9" t="s">
        <v>11</v>
      </c>
      <c r="L14" s="9">
        <f>SUM(L4:L9)</f>
        <v>0</v>
      </c>
      <c r="M14" s="9">
        <f>SUM(M4:M9)</f>
        <v>0</v>
      </c>
      <c r="N14" s="11" t="e">
        <f>M14/L14</f>
        <v>#DIV/0!</v>
      </c>
    </row>
    <row r="15" spans="1:15" ht="40.25" customHeight="1">
      <c r="A15" s="3" t="s">
        <v>11</v>
      </c>
      <c r="B15" s="3" t="s">
        <v>14</v>
      </c>
      <c r="C15" s="15">
        <f>SUM(C2:C14)</f>
        <v>100</v>
      </c>
      <c r="D15" s="3"/>
      <c r="E15" s="3"/>
      <c r="F15" s="3"/>
      <c r="G15" s="3"/>
      <c r="H15" s="3"/>
      <c r="I15" s="3" t="s">
        <v>15</v>
      </c>
    </row>
    <row r="16" spans="1:15" ht="40.25" customHeight="1"/>
    <row r="17" spans="1:9" ht="40.25" customHeight="1">
      <c r="A17" s="10" t="s">
        <v>16</v>
      </c>
    </row>
    <row r="18" spans="1:9">
      <c r="A18" s="166"/>
      <c r="B18" s="166"/>
      <c r="C18" s="166"/>
      <c r="D18" s="166"/>
      <c r="E18" s="166"/>
      <c r="F18" s="166"/>
      <c r="G18" s="166"/>
      <c r="H18" s="166"/>
      <c r="I18" s="166"/>
    </row>
    <row r="19" spans="1:9">
      <c r="A19" s="166"/>
      <c r="B19" s="166"/>
      <c r="C19" s="166"/>
      <c r="D19" s="166"/>
      <c r="E19" s="166"/>
      <c r="F19" s="166"/>
      <c r="G19" s="166"/>
      <c r="H19" s="166"/>
      <c r="I19" s="166"/>
    </row>
    <row r="20" spans="1:9">
      <c r="A20" s="166"/>
      <c r="B20" s="166"/>
      <c r="C20" s="166"/>
      <c r="D20" s="166"/>
      <c r="E20" s="166"/>
      <c r="F20" s="166"/>
      <c r="G20" s="166"/>
      <c r="H20" s="166"/>
      <c r="I20" s="166"/>
    </row>
    <row r="21" spans="1:9">
      <c r="A21" s="166"/>
      <c r="B21" s="166"/>
      <c r="C21" s="166"/>
      <c r="D21" s="166"/>
      <c r="E21" s="166"/>
      <c r="F21" s="166"/>
      <c r="G21" s="166"/>
      <c r="H21" s="166"/>
      <c r="I21" s="166"/>
    </row>
  </sheetData>
  <mergeCells count="4">
    <mergeCell ref="A18:I18"/>
    <mergeCell ref="A19:I19"/>
    <mergeCell ref="A20:I20"/>
    <mergeCell ref="A21:I21"/>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FE789-EE6B-4B2F-80AA-F60AC5648841}">
  <sheetPr>
    <tabColor rgb="FF00B050"/>
  </sheetPr>
  <dimension ref="A1:P29"/>
  <sheetViews>
    <sheetView zoomScale="73" zoomScaleNormal="60" workbookViewId="0">
      <selection activeCell="A2" sqref="A2"/>
    </sheetView>
  </sheetViews>
  <sheetFormatPr baseColWidth="10" defaultColWidth="10.6640625" defaultRowHeight="74" customHeight="1"/>
  <cols>
    <col min="1" max="1" width="25.6640625" style="34" customWidth="1"/>
    <col min="2" max="2" width="12.6640625" style="34" customWidth="1"/>
    <col min="3" max="3" width="6" style="34" bestFit="1" customWidth="1"/>
    <col min="4" max="4" width="20.6640625" style="34" customWidth="1"/>
    <col min="5" max="5" width="13.33203125" style="34" customWidth="1"/>
    <col min="6" max="6" width="12.6640625" style="34" customWidth="1"/>
    <col min="7" max="8" width="25.6640625" style="34" customWidth="1"/>
    <col min="9" max="9" width="40.6640625" style="34" customWidth="1"/>
    <col min="10" max="10" width="10.6640625" style="34"/>
    <col min="11" max="11" width="20.6640625" style="34" customWidth="1"/>
    <col min="12" max="14" width="10.6640625" style="34"/>
    <col min="15" max="15" width="14.83203125" style="34" customWidth="1"/>
    <col min="16" max="16384" width="10.6640625" style="34"/>
  </cols>
  <sheetData>
    <row r="1" spans="1:16" s="33" customFormat="1" ht="74" customHeight="1">
      <c r="A1" s="1" t="s">
        <v>0</v>
      </c>
      <c r="B1" s="30" t="s">
        <v>1</v>
      </c>
      <c r="C1" s="1" t="s">
        <v>2</v>
      </c>
      <c r="D1" s="1" t="s">
        <v>3</v>
      </c>
      <c r="E1" s="1" t="s">
        <v>4</v>
      </c>
      <c r="F1" s="57" t="s">
        <v>166</v>
      </c>
      <c r="G1" s="1" t="s">
        <v>17</v>
      </c>
      <c r="H1" s="1" t="s">
        <v>18</v>
      </c>
      <c r="I1" s="1" t="s">
        <v>5</v>
      </c>
      <c r="K1" s="1" t="s">
        <v>6</v>
      </c>
      <c r="L1" s="1" t="s">
        <v>7</v>
      </c>
      <c r="M1" s="1" t="s">
        <v>8</v>
      </c>
      <c r="O1" s="1" t="s">
        <v>19</v>
      </c>
    </row>
    <row r="2" spans="1:16" s="33" customFormat="1" ht="74" customHeight="1">
      <c r="A2" s="2" t="s">
        <v>79</v>
      </c>
      <c r="B2" s="28">
        <f>C2/C$17</f>
        <v>0.64878048780487807</v>
      </c>
      <c r="C2" s="18">
        <v>79.8</v>
      </c>
      <c r="D2" s="24" t="s">
        <v>118</v>
      </c>
      <c r="E2" s="24" t="s">
        <v>52</v>
      </c>
      <c r="F2" s="63">
        <v>0.1</v>
      </c>
      <c r="G2" s="18" t="s">
        <v>116</v>
      </c>
      <c r="H2" s="18" t="s">
        <v>117</v>
      </c>
      <c r="I2" s="17"/>
      <c r="K2" s="17" t="s">
        <v>81</v>
      </c>
      <c r="L2" s="18">
        <v>96</v>
      </c>
      <c r="M2" s="18">
        <v>96</v>
      </c>
      <c r="O2" s="18" t="s">
        <v>199</v>
      </c>
    </row>
    <row r="3" spans="1:16" s="33" customFormat="1" ht="74" customHeight="1">
      <c r="A3" s="2" t="s">
        <v>82</v>
      </c>
      <c r="B3" s="28">
        <f t="shared" ref="B3:B17" si="0">C3/C$17</f>
        <v>0.10569105691056911</v>
      </c>
      <c r="C3" s="18">
        <v>13</v>
      </c>
      <c r="D3" s="29"/>
      <c r="E3" s="18" t="s">
        <v>104</v>
      </c>
      <c r="F3" s="151">
        <v>0.1</v>
      </c>
      <c r="G3" s="18" t="s">
        <v>200</v>
      </c>
      <c r="H3" s="18"/>
      <c r="I3" s="17"/>
      <c r="K3" s="17" t="s">
        <v>83</v>
      </c>
      <c r="L3" s="18">
        <v>8</v>
      </c>
      <c r="M3" s="18">
        <v>8</v>
      </c>
    </row>
    <row r="4" spans="1:16" s="33" customFormat="1" ht="74" customHeight="1">
      <c r="A4" s="2" t="s">
        <v>84</v>
      </c>
      <c r="B4" s="28">
        <f>C4/C$17</f>
        <v>4.6341463414634146E-2</v>
      </c>
      <c r="C4" s="18">
        <v>5.7</v>
      </c>
      <c r="D4" s="29"/>
      <c r="E4" s="18" t="s">
        <v>104</v>
      </c>
      <c r="F4" s="151">
        <v>0.75</v>
      </c>
      <c r="G4" s="18" t="s">
        <v>115</v>
      </c>
      <c r="H4" s="18"/>
      <c r="I4" s="17"/>
      <c r="K4" s="17" t="s">
        <v>85</v>
      </c>
      <c r="L4" s="18">
        <v>7</v>
      </c>
      <c r="M4" s="18">
        <v>7</v>
      </c>
      <c r="O4" s="34"/>
      <c r="P4" s="152"/>
    </row>
    <row r="5" spans="1:16" s="33" customFormat="1" ht="74" customHeight="1">
      <c r="A5" s="2" t="s">
        <v>86</v>
      </c>
      <c r="B5" s="28">
        <f t="shared" si="0"/>
        <v>3.2520325203252036E-2</v>
      </c>
      <c r="C5" s="14">
        <v>4</v>
      </c>
      <c r="D5" s="18" t="s">
        <v>80</v>
      </c>
      <c r="E5" s="24" t="s">
        <v>52</v>
      </c>
      <c r="F5" s="63">
        <v>0.15</v>
      </c>
      <c r="G5" s="24" t="s">
        <v>201</v>
      </c>
      <c r="H5" s="24" t="s">
        <v>119</v>
      </c>
      <c r="I5" s="2"/>
      <c r="K5" s="17" t="s">
        <v>87</v>
      </c>
      <c r="L5" s="18">
        <v>2</v>
      </c>
      <c r="M5" s="18">
        <v>2</v>
      </c>
      <c r="O5" s="34"/>
      <c r="P5" s="152"/>
    </row>
    <row r="6" spans="1:16" s="33" customFormat="1" ht="74" customHeight="1">
      <c r="A6" s="2" t="s">
        <v>88</v>
      </c>
      <c r="B6" s="28">
        <f t="shared" si="0"/>
        <v>2.4390243902439025E-2</v>
      </c>
      <c r="C6" s="18">
        <v>3</v>
      </c>
      <c r="D6" s="18" t="s">
        <v>122</v>
      </c>
      <c r="E6" s="18" t="s">
        <v>52</v>
      </c>
      <c r="F6" s="151">
        <v>0.05</v>
      </c>
      <c r="G6" s="18" t="s">
        <v>136</v>
      </c>
      <c r="H6" s="18" t="s">
        <v>124</v>
      </c>
      <c r="I6" s="17" t="s">
        <v>123</v>
      </c>
      <c r="K6" s="17" t="s">
        <v>89</v>
      </c>
      <c r="L6" s="18">
        <v>7</v>
      </c>
      <c r="M6" s="18">
        <v>7</v>
      </c>
      <c r="O6" s="34"/>
      <c r="P6" s="152"/>
    </row>
    <row r="7" spans="1:16" s="33" customFormat="1" ht="117" customHeight="1">
      <c r="A7" s="17" t="s">
        <v>90</v>
      </c>
      <c r="B7" s="28">
        <f t="shared" si="0"/>
        <v>2.4390243902439025E-2</v>
      </c>
      <c r="C7" s="18">
        <v>3</v>
      </c>
      <c r="D7" s="29" t="s">
        <v>212</v>
      </c>
      <c r="E7" s="29" t="s">
        <v>211</v>
      </c>
      <c r="F7" s="153">
        <v>0.2</v>
      </c>
      <c r="G7" s="29" t="s">
        <v>121</v>
      </c>
      <c r="H7" s="29"/>
      <c r="I7" s="29"/>
      <c r="K7" s="17" t="s">
        <v>91</v>
      </c>
      <c r="L7" s="18">
        <v>3</v>
      </c>
      <c r="M7" s="18">
        <v>3</v>
      </c>
      <c r="O7" s="34"/>
      <c r="P7" s="152"/>
    </row>
    <row r="8" spans="1:16" ht="74" customHeight="1">
      <c r="A8" s="2" t="s">
        <v>92</v>
      </c>
      <c r="B8" s="28">
        <f t="shared" si="0"/>
        <v>2.4390243902439025E-2</v>
      </c>
      <c r="C8" s="18">
        <v>3</v>
      </c>
      <c r="D8" s="24"/>
      <c r="E8" s="24" t="s">
        <v>120</v>
      </c>
      <c r="F8" s="63">
        <v>0.08</v>
      </c>
      <c r="G8" s="24" t="s">
        <v>125</v>
      </c>
      <c r="H8" s="24"/>
      <c r="I8" s="2"/>
      <c r="K8" s="17"/>
      <c r="L8" s="18"/>
      <c r="M8" s="18"/>
      <c r="P8" s="38"/>
    </row>
    <row r="9" spans="1:16" ht="42">
      <c r="A9" s="17" t="s">
        <v>93</v>
      </c>
      <c r="B9" s="28">
        <f t="shared" si="0"/>
        <v>1.6260162601626018E-2</v>
      </c>
      <c r="C9" s="18">
        <v>2</v>
      </c>
      <c r="D9" s="154"/>
      <c r="E9" s="24" t="s">
        <v>126</v>
      </c>
      <c r="F9" s="24" t="s">
        <v>306</v>
      </c>
      <c r="G9" s="29" t="s">
        <v>127</v>
      </c>
      <c r="H9" s="29"/>
      <c r="I9" s="29"/>
      <c r="K9" s="17"/>
      <c r="L9" s="18"/>
      <c r="M9" s="18"/>
      <c r="P9" s="38"/>
    </row>
    <row r="10" spans="1:16" ht="74" customHeight="1">
      <c r="A10" s="2" t="s">
        <v>94</v>
      </c>
      <c r="B10" s="28">
        <f t="shared" si="0"/>
        <v>1.6260162601626018E-2</v>
      </c>
      <c r="C10" s="14">
        <v>2</v>
      </c>
      <c r="D10" s="24" t="s">
        <v>210</v>
      </c>
      <c r="E10" s="24" t="s">
        <v>209</v>
      </c>
      <c r="F10" s="63">
        <v>0</v>
      </c>
      <c r="G10" s="24" t="s">
        <v>128</v>
      </c>
      <c r="H10" s="24"/>
      <c r="I10" s="2"/>
      <c r="K10" s="17"/>
      <c r="L10" s="18"/>
      <c r="M10" s="18"/>
      <c r="P10" s="39"/>
    </row>
    <row r="11" spans="1:16" ht="74" customHeight="1">
      <c r="A11" s="2" t="s">
        <v>95</v>
      </c>
      <c r="B11" s="28">
        <f t="shared" si="0"/>
        <v>1.6260162601626018E-2</v>
      </c>
      <c r="C11" s="14">
        <v>2</v>
      </c>
      <c r="D11" s="24"/>
      <c r="E11" s="24" t="s">
        <v>96</v>
      </c>
      <c r="F11" s="63">
        <v>0.2</v>
      </c>
      <c r="G11" s="18" t="s">
        <v>129</v>
      </c>
      <c r="H11" s="18"/>
      <c r="I11" s="2"/>
      <c r="K11" s="17"/>
      <c r="L11" s="18"/>
      <c r="M11" s="18"/>
    </row>
    <row r="12" spans="1:16" ht="74" customHeight="1">
      <c r="A12" s="2" t="s">
        <v>97</v>
      </c>
      <c r="B12" s="28">
        <f t="shared" si="0"/>
        <v>1.2195121951219513E-2</v>
      </c>
      <c r="C12" s="14">
        <v>1.5</v>
      </c>
      <c r="D12" s="18"/>
      <c r="E12" s="24" t="s">
        <v>134</v>
      </c>
      <c r="F12" s="63">
        <v>0.08</v>
      </c>
      <c r="G12" s="24" t="s">
        <v>135</v>
      </c>
      <c r="H12" s="24"/>
      <c r="I12" s="2"/>
      <c r="K12" s="17"/>
      <c r="L12" s="18"/>
      <c r="M12" s="18"/>
    </row>
    <row r="13" spans="1:16" ht="74" customHeight="1">
      <c r="A13" s="2" t="s">
        <v>98</v>
      </c>
      <c r="B13" s="28">
        <f t="shared" si="0"/>
        <v>1.2195121951219513E-2</v>
      </c>
      <c r="C13" s="14">
        <v>1.5</v>
      </c>
      <c r="D13" s="18"/>
      <c r="E13" s="24" t="s">
        <v>120</v>
      </c>
      <c r="F13" s="63">
        <v>0.25</v>
      </c>
      <c r="G13" s="24" t="s">
        <v>133</v>
      </c>
      <c r="H13" s="24"/>
      <c r="I13" s="2"/>
      <c r="K13" s="17"/>
      <c r="L13" s="18"/>
      <c r="M13" s="18"/>
      <c r="N13" s="35"/>
    </row>
    <row r="14" spans="1:16" ht="74" customHeight="1">
      <c r="A14" s="2" t="s">
        <v>99</v>
      </c>
      <c r="B14" s="28">
        <f t="shared" si="0"/>
        <v>9.7560975609756097E-3</v>
      </c>
      <c r="C14" s="18">
        <v>1.2</v>
      </c>
      <c r="D14" s="24"/>
      <c r="E14" s="24" t="s">
        <v>120</v>
      </c>
      <c r="F14" s="63">
        <v>0.1</v>
      </c>
      <c r="G14" s="24" t="s">
        <v>132</v>
      </c>
      <c r="H14" s="24"/>
      <c r="I14" s="2" t="s">
        <v>100</v>
      </c>
      <c r="K14" s="17"/>
      <c r="L14" s="18"/>
      <c r="M14" s="18"/>
      <c r="N14" s="35"/>
    </row>
    <row r="15" spans="1:16" ht="74" customHeight="1">
      <c r="A15" s="2" t="s">
        <v>101</v>
      </c>
      <c r="B15" s="28">
        <f t="shared" si="0"/>
        <v>8.130081300813009E-3</v>
      </c>
      <c r="C15" s="14">
        <v>1</v>
      </c>
      <c r="D15" s="18"/>
      <c r="E15" s="24" t="s">
        <v>120</v>
      </c>
      <c r="F15" s="63">
        <v>0.05</v>
      </c>
      <c r="G15" s="24" t="s">
        <v>131</v>
      </c>
      <c r="H15" s="24"/>
      <c r="I15" s="2"/>
      <c r="K15" s="17"/>
      <c r="L15" s="18"/>
      <c r="M15" s="18"/>
      <c r="N15" s="35"/>
    </row>
    <row r="16" spans="1:16" ht="74" customHeight="1">
      <c r="A16" s="2" t="s">
        <v>102</v>
      </c>
      <c r="B16" s="28">
        <f t="shared" si="0"/>
        <v>2.4390243902439024E-3</v>
      </c>
      <c r="C16" s="14">
        <v>0.3</v>
      </c>
      <c r="D16" s="24"/>
      <c r="E16" s="24" t="s">
        <v>103</v>
      </c>
      <c r="F16" s="63">
        <v>0.75</v>
      </c>
      <c r="G16" s="24" t="s">
        <v>130</v>
      </c>
      <c r="H16" s="24"/>
      <c r="I16" s="2"/>
      <c r="K16" s="17"/>
      <c r="L16" s="18"/>
      <c r="M16" s="18"/>
      <c r="N16" s="35"/>
    </row>
    <row r="17" spans="1:14" ht="74" customHeight="1">
      <c r="A17" s="3" t="s">
        <v>11</v>
      </c>
      <c r="B17" s="31">
        <f t="shared" si="0"/>
        <v>1</v>
      </c>
      <c r="C17" s="15">
        <f>SUM(C2:C16)</f>
        <v>123</v>
      </c>
      <c r="D17" s="3"/>
      <c r="E17" s="3"/>
      <c r="F17" s="3"/>
      <c r="G17" s="3"/>
      <c r="H17" s="3"/>
      <c r="I17" s="3" t="s">
        <v>15</v>
      </c>
      <c r="K17" s="3" t="s">
        <v>11</v>
      </c>
      <c r="L17" s="15">
        <f>SUM(L2:L16)</f>
        <v>123</v>
      </c>
      <c r="M17" s="15">
        <f>SUM(M2:M16)</f>
        <v>123</v>
      </c>
      <c r="N17" s="35">
        <f>M17/L17</f>
        <v>1</v>
      </c>
    </row>
    <row r="18" spans="1:14" ht="74" customHeight="1">
      <c r="B18" s="37"/>
    </row>
    <row r="19" spans="1:14" ht="74" customHeight="1">
      <c r="A19" s="36" t="s">
        <v>5</v>
      </c>
      <c r="B19" s="37"/>
    </row>
    <row r="20" spans="1:14" ht="13">
      <c r="B20" s="152"/>
      <c r="C20" s="155"/>
      <c r="E20" s="155"/>
      <c r="F20" s="155"/>
      <c r="G20" s="155"/>
      <c r="H20" s="155"/>
      <c r="I20" s="155"/>
    </row>
    <row r="21" spans="1:14" ht="13">
      <c r="B21" s="152"/>
      <c r="C21" s="155"/>
      <c r="E21" s="155"/>
      <c r="F21" s="155"/>
      <c r="G21" s="155"/>
      <c r="H21" s="155"/>
      <c r="I21" s="155"/>
    </row>
    <row r="22" spans="1:14" ht="13">
      <c r="B22" s="152"/>
      <c r="C22" s="155"/>
      <c r="E22" s="155"/>
      <c r="F22" s="155"/>
      <c r="G22" s="155"/>
      <c r="H22" s="155"/>
      <c r="I22" s="155"/>
    </row>
    <row r="23" spans="1:14" ht="13">
      <c r="B23" s="152"/>
      <c r="C23" s="155"/>
      <c r="E23" s="155"/>
      <c r="F23" s="155"/>
      <c r="G23" s="155"/>
      <c r="H23" s="155"/>
      <c r="I23" s="155"/>
    </row>
    <row r="24" spans="1:14" ht="13">
      <c r="B24" s="38"/>
    </row>
    <row r="25" spans="1:14" ht="13">
      <c r="B25" s="38"/>
    </row>
    <row r="26" spans="1:14" ht="13">
      <c r="B26" s="39"/>
    </row>
    <row r="27" spans="1:14" ht="14">
      <c r="B27" s="37"/>
      <c r="D27" s="34" t="s">
        <v>105</v>
      </c>
    </row>
    <row r="28" spans="1:14" ht="13">
      <c r="B28" s="37"/>
    </row>
    <row r="29" spans="1:14" ht="28">
      <c r="A29" s="32"/>
      <c r="B29" s="37"/>
      <c r="D29" s="34" t="s">
        <v>106</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5126E-18C0-4D0A-ADD1-5E40C221262F}">
  <sheetPr>
    <tabColor rgb="FF00B050"/>
  </sheetPr>
  <dimension ref="A1:O18"/>
  <sheetViews>
    <sheetView zoomScale="59" zoomScaleNormal="50" workbookViewId="0">
      <selection activeCell="C3" sqref="C3"/>
    </sheetView>
  </sheetViews>
  <sheetFormatPr baseColWidth="10" defaultColWidth="10.6640625" defaultRowHeight="13"/>
  <cols>
    <col min="1" max="1" width="81.6640625" style="5" customWidth="1"/>
    <col min="2" max="2" width="12.6640625" style="5" customWidth="1"/>
    <col min="3" max="3" width="15.6640625" style="5" customWidth="1"/>
    <col min="4" max="4" width="20.6640625" style="5" customWidth="1"/>
    <col min="5" max="6" width="17.5" style="5" customWidth="1"/>
    <col min="7" max="8" width="25.6640625" style="5" customWidth="1"/>
    <col min="9" max="9" width="51.1640625" style="5" customWidth="1"/>
    <col min="10" max="10" width="10.6640625" style="5"/>
    <col min="11" max="11" width="20.6640625" style="5" customWidth="1"/>
    <col min="12" max="16384" width="10.6640625" style="5"/>
  </cols>
  <sheetData>
    <row r="1" spans="1:15" s="4" customFormat="1" ht="73" customHeight="1">
      <c r="A1" s="1" t="s">
        <v>0</v>
      </c>
      <c r="B1" s="1" t="s">
        <v>1</v>
      </c>
      <c r="C1" s="1" t="s">
        <v>2</v>
      </c>
      <c r="D1" s="1" t="s">
        <v>3</v>
      </c>
      <c r="E1" s="1" t="s">
        <v>4</v>
      </c>
      <c r="F1" s="1" t="s">
        <v>166</v>
      </c>
      <c r="G1" s="1" t="s">
        <v>17</v>
      </c>
      <c r="H1" s="1" t="s">
        <v>18</v>
      </c>
      <c r="I1" s="1" t="s">
        <v>5</v>
      </c>
      <c r="K1" s="1" t="s">
        <v>6</v>
      </c>
      <c r="L1" s="1" t="s">
        <v>7</v>
      </c>
      <c r="M1" s="1" t="s">
        <v>8</v>
      </c>
      <c r="O1" s="1" t="s">
        <v>8</v>
      </c>
    </row>
    <row r="2" spans="1:15" ht="49.5" customHeight="1">
      <c r="A2" s="49" t="s">
        <v>148</v>
      </c>
      <c r="B2" s="13">
        <v>0.05</v>
      </c>
      <c r="C2" s="51">
        <v>0</v>
      </c>
      <c r="D2" s="2" t="s">
        <v>12</v>
      </c>
      <c r="E2" s="2" t="s">
        <v>12</v>
      </c>
      <c r="F2" s="63">
        <v>0</v>
      </c>
      <c r="G2" s="2"/>
      <c r="H2" s="2"/>
      <c r="I2" s="2" t="s">
        <v>163</v>
      </c>
      <c r="K2" s="17" t="s">
        <v>107</v>
      </c>
      <c r="L2" s="18">
        <v>8</v>
      </c>
      <c r="M2" s="18"/>
      <c r="O2" s="18" t="s">
        <v>108</v>
      </c>
    </row>
    <row r="3" spans="1:15" ht="50" customHeight="1">
      <c r="A3" s="49" t="s">
        <v>150</v>
      </c>
      <c r="B3" s="13">
        <v>0.05</v>
      </c>
      <c r="C3" s="51">
        <v>0.75</v>
      </c>
      <c r="D3" s="2" t="s">
        <v>164</v>
      </c>
      <c r="E3" s="2" t="s">
        <v>10</v>
      </c>
      <c r="F3" s="63">
        <v>0.25</v>
      </c>
      <c r="G3" s="2" t="s">
        <v>146</v>
      </c>
      <c r="H3" s="2"/>
      <c r="I3" s="2" t="s">
        <v>159</v>
      </c>
      <c r="K3" s="17" t="s">
        <v>109</v>
      </c>
      <c r="L3" s="18">
        <v>2</v>
      </c>
      <c r="M3" s="18"/>
    </row>
    <row r="4" spans="1:15" ht="50" customHeight="1">
      <c r="A4" s="49" t="s">
        <v>149</v>
      </c>
      <c r="B4" s="13">
        <v>0.35</v>
      </c>
      <c r="C4" s="51">
        <f>0.35*17</f>
        <v>5.9499999999999993</v>
      </c>
      <c r="D4" s="2" t="s">
        <v>12</v>
      </c>
      <c r="E4" s="2" t="s">
        <v>402</v>
      </c>
      <c r="F4" s="63">
        <v>0.25</v>
      </c>
      <c r="G4" s="2" t="s">
        <v>403</v>
      </c>
      <c r="H4" s="2"/>
      <c r="I4" s="2" t="s">
        <v>162</v>
      </c>
      <c r="K4" s="17" t="s">
        <v>110</v>
      </c>
      <c r="L4" s="18">
        <v>1</v>
      </c>
      <c r="M4" s="18"/>
    </row>
    <row r="5" spans="1:15" ht="50" customHeight="1">
      <c r="A5" s="49" t="s">
        <v>156</v>
      </c>
      <c r="B5" s="53">
        <v>2.5000000000000001E-2</v>
      </c>
      <c r="C5" s="51">
        <v>0</v>
      </c>
      <c r="D5" s="2" t="s">
        <v>12</v>
      </c>
      <c r="E5" s="2" t="s">
        <v>400</v>
      </c>
      <c r="F5" s="63">
        <v>0.05</v>
      </c>
      <c r="G5" s="2" t="s">
        <v>401</v>
      </c>
      <c r="H5" s="2"/>
      <c r="I5" s="2"/>
      <c r="K5" s="17" t="s">
        <v>111</v>
      </c>
      <c r="L5" s="18">
        <v>0</v>
      </c>
      <c r="M5" s="18"/>
    </row>
    <row r="6" spans="1:15" ht="50" customHeight="1">
      <c r="A6" s="49" t="s">
        <v>112</v>
      </c>
      <c r="B6" s="13">
        <v>0.05</v>
      </c>
      <c r="C6" s="51">
        <v>0.75</v>
      </c>
      <c r="D6" s="2" t="s">
        <v>12</v>
      </c>
      <c r="E6" s="2" t="s">
        <v>12</v>
      </c>
      <c r="F6" s="63">
        <v>0</v>
      </c>
      <c r="G6" s="2"/>
      <c r="H6" s="2"/>
      <c r="I6" s="2"/>
      <c r="K6" s="17" t="s">
        <v>113</v>
      </c>
      <c r="L6" s="18">
        <v>2</v>
      </c>
      <c r="M6" s="18"/>
      <c r="N6" s="11"/>
    </row>
    <row r="7" spans="1:15" ht="73" customHeight="1">
      <c r="A7" s="49" t="s">
        <v>151</v>
      </c>
      <c r="B7" s="13">
        <v>0.2</v>
      </c>
      <c r="C7" s="51">
        <v>3.5</v>
      </c>
      <c r="D7" s="17" t="s">
        <v>144</v>
      </c>
      <c r="E7" s="2" t="s">
        <v>145</v>
      </c>
      <c r="F7" s="63">
        <v>1</v>
      </c>
      <c r="G7" s="27" t="s">
        <v>147</v>
      </c>
      <c r="H7" s="2" t="s">
        <v>331</v>
      </c>
      <c r="I7" s="2" t="s">
        <v>155</v>
      </c>
      <c r="K7" s="3" t="s">
        <v>11</v>
      </c>
      <c r="L7" s="3">
        <f>SUM(L2:L6)</f>
        <v>13</v>
      </c>
      <c r="M7" s="64">
        <v>1</v>
      </c>
      <c r="N7" s="11"/>
    </row>
    <row r="8" spans="1:15" ht="50" customHeight="1">
      <c r="A8" s="49" t="s">
        <v>202</v>
      </c>
      <c r="B8" s="13">
        <v>0.05</v>
      </c>
      <c r="C8" s="51">
        <v>1</v>
      </c>
      <c r="D8" s="2" t="s">
        <v>12</v>
      </c>
      <c r="E8" s="2" t="s">
        <v>12</v>
      </c>
      <c r="F8" s="63">
        <v>0</v>
      </c>
      <c r="G8" s="2"/>
      <c r="H8" s="2"/>
      <c r="I8" s="2" t="s">
        <v>154</v>
      </c>
      <c r="K8" s="169" t="s">
        <v>444</v>
      </c>
      <c r="L8" s="169"/>
      <c r="M8" s="169"/>
      <c r="N8" s="11"/>
    </row>
    <row r="9" spans="1:15" ht="65.5" customHeight="1">
      <c r="A9" s="49" t="s">
        <v>158</v>
      </c>
      <c r="B9" s="13">
        <v>0.1</v>
      </c>
      <c r="C9" s="51">
        <v>1.5</v>
      </c>
      <c r="D9" s="2" t="s">
        <v>12</v>
      </c>
      <c r="E9" s="2" t="s">
        <v>160</v>
      </c>
      <c r="F9" s="63">
        <v>0.2</v>
      </c>
      <c r="G9" s="12"/>
      <c r="H9" s="27" t="s">
        <v>204</v>
      </c>
      <c r="I9" s="2" t="s">
        <v>203</v>
      </c>
      <c r="N9" s="11"/>
    </row>
    <row r="10" spans="1:15" ht="50" customHeight="1">
      <c r="A10" s="49" t="s">
        <v>153</v>
      </c>
      <c r="B10" s="53">
        <v>2.5000000000000001E-2</v>
      </c>
      <c r="C10" s="51">
        <f>(0.15*2)</f>
        <v>0.3</v>
      </c>
      <c r="D10" s="2" t="s">
        <v>12</v>
      </c>
      <c r="E10" s="2" t="s">
        <v>406</v>
      </c>
      <c r="F10" s="63">
        <v>0.1</v>
      </c>
      <c r="G10" s="12" t="s">
        <v>407</v>
      </c>
      <c r="H10" s="12"/>
      <c r="I10" s="2" t="s">
        <v>157</v>
      </c>
      <c r="N10" s="11"/>
    </row>
    <row r="11" spans="1:15" ht="75" customHeight="1">
      <c r="A11" s="2" t="s">
        <v>152</v>
      </c>
      <c r="B11" s="13">
        <v>0.15</v>
      </c>
      <c r="C11" s="51">
        <v>2.5</v>
      </c>
      <c r="D11" s="54"/>
      <c r="E11" s="2" t="s">
        <v>404</v>
      </c>
      <c r="F11" s="63">
        <v>0.5</v>
      </c>
      <c r="G11" s="12" t="s">
        <v>405</v>
      </c>
      <c r="H11" s="12"/>
      <c r="I11" s="2" t="s">
        <v>161</v>
      </c>
      <c r="N11" s="11"/>
    </row>
    <row r="12" spans="1:15" ht="40.25" customHeight="1">
      <c r="A12" s="3" t="s">
        <v>11</v>
      </c>
      <c r="B12" s="3" t="s">
        <v>14</v>
      </c>
      <c r="C12" s="15">
        <v>13</v>
      </c>
      <c r="D12" s="3"/>
      <c r="E12" s="3"/>
      <c r="F12" s="3"/>
      <c r="G12" s="3"/>
      <c r="H12" s="3"/>
      <c r="I12" s="3" t="s">
        <v>15</v>
      </c>
    </row>
    <row r="13" spans="1:15" ht="40.25" customHeight="1">
      <c r="B13" s="50"/>
      <c r="C13" s="5" t="s">
        <v>445</v>
      </c>
    </row>
    <row r="14" spans="1:15" ht="40.25" customHeight="1">
      <c r="A14" s="10" t="s">
        <v>114</v>
      </c>
    </row>
    <row r="15" spans="1:15">
      <c r="A15" s="168"/>
      <c r="B15" s="168"/>
      <c r="C15" s="168"/>
      <c r="D15" s="168"/>
      <c r="E15" s="168"/>
      <c r="F15" s="168"/>
      <c r="G15" s="168"/>
      <c r="H15" s="168"/>
      <c r="I15" s="168"/>
    </row>
    <row r="16" spans="1:15">
      <c r="A16" s="168"/>
      <c r="B16" s="168"/>
      <c r="C16" s="168"/>
      <c r="D16" s="168"/>
      <c r="E16" s="168"/>
      <c r="F16" s="168"/>
      <c r="G16" s="168"/>
      <c r="H16" s="168"/>
      <c r="I16" s="168"/>
    </row>
    <row r="17" spans="1:9">
      <c r="A17" s="168"/>
      <c r="B17" s="168"/>
      <c r="C17" s="168"/>
      <c r="D17" s="168"/>
      <c r="E17" s="168"/>
      <c r="F17" s="168"/>
      <c r="G17" s="168"/>
      <c r="H17" s="168"/>
      <c r="I17" s="168"/>
    </row>
    <row r="18" spans="1:9">
      <c r="A18" s="168"/>
      <c r="B18" s="168"/>
      <c r="C18" s="168"/>
      <c r="D18" s="168"/>
      <c r="E18" s="168"/>
      <c r="F18" s="168"/>
      <c r="G18" s="168"/>
      <c r="H18" s="168"/>
      <c r="I18" s="168"/>
    </row>
  </sheetData>
  <mergeCells count="5">
    <mergeCell ref="A15:I15"/>
    <mergeCell ref="A16:I16"/>
    <mergeCell ref="A17:I17"/>
    <mergeCell ref="A18:I18"/>
    <mergeCell ref="K8:M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77356F22EB19E40B05B0E62E3C1179B" ma:contentTypeVersion="12" ma:contentTypeDescription="Create a new document." ma:contentTypeScope="" ma:versionID="3e27d51d843adb4d656c4d548f685b10">
  <xsd:schema xmlns:xsd="http://www.w3.org/2001/XMLSchema" xmlns:xs="http://www.w3.org/2001/XMLSchema" xmlns:p="http://schemas.microsoft.com/office/2006/metadata/properties" xmlns:ns1="http://schemas.microsoft.com/sharepoint/v3" xmlns:ns2="6604ad59-e963-4310-8574-13f5eb50b5fb" xmlns:ns3="fff77ca8-25b3-4918-80a3-cc82c422718d" targetNamespace="http://schemas.microsoft.com/office/2006/metadata/properties" ma:root="true" ma:fieldsID="09eb7b54c89b39ddfa8a9d424631d33d" ns1:_="" ns2:_="" ns3:_="">
    <xsd:import namespace="http://schemas.microsoft.com/sharepoint/v3"/>
    <xsd:import namespace="6604ad59-e963-4310-8574-13f5eb50b5fb"/>
    <xsd:import namespace="fff77ca8-25b3-4918-80a3-cc82c422718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04ad59-e963-4310-8574-13f5eb50b5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f77ca8-25b3-4918-80a3-cc82c422718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E85DC9-120A-455C-8749-40CFFB5491AD}">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5FD89BF9-179F-49BF-8228-A758858B5D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604ad59-e963-4310-8574-13f5eb50b5fb"/>
    <ds:schemaRef ds:uri="fff77ca8-25b3-4918-80a3-cc82c42271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94C02E5-C1E3-4C58-B5FB-B7F418F8F5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Demand Generation</vt:lpstr>
      <vt:lpstr>Product Marketing</vt:lpstr>
      <vt:lpstr>TRI</vt:lpstr>
      <vt:lpstr>Events</vt:lpstr>
      <vt:lpstr>Ops &amp; Analytics</vt:lpstr>
      <vt:lpstr>LATAM</vt:lpstr>
      <vt:lpstr>Digital Marketing</vt:lpstr>
      <vt:lpstr>Creative-Design</vt:lpstr>
      <vt:lpstr>AEM</vt:lpstr>
      <vt:lpstr>BDR</vt:lpstr>
      <vt:lpstr>Partner Marketing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Samson, Richie M. (Operations &amp; Technology)</dc:creator>
  <cp:keywords/>
  <dc:description/>
  <cp:lastModifiedBy>Samson, Richie M. (Operations &amp; Technology)</cp:lastModifiedBy>
  <cp:revision/>
  <dcterms:created xsi:type="dcterms:W3CDTF">2025-06-02T04:57:39Z</dcterms:created>
  <dcterms:modified xsi:type="dcterms:W3CDTF">2025-10-20T11:29:01Z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0x010100B77356F22EB19E40B05B0E62E3C1179B</vt:lpwstr>
  </property>
</Properties>
</file>